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917BA7-9368-46F9-8D7D-62FE48B1DF70}" xr6:coauthVersionLast="47" xr6:coauthVersionMax="47" xr10:uidLastSave="{00000000-0000-0000-0000-000000000000}"/>
  <bookViews>
    <workbookView xWindow="-108" yWindow="-108" windowWidth="23256" windowHeight="12456" xr2:uid="{87EDC5D1-6FE4-435D-B5D2-0E477724D37B}"/>
  </bookViews>
  <sheets>
    <sheet name="Attendance_Sheet" sheetId="1" r:id="rId1"/>
    <sheet name="Salary_Sheet" sheetId="3" r:id="rId2"/>
    <sheet name="Salary_Sli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Q19" i="4"/>
  <c r="Q18" i="4"/>
  <c r="Q11" i="4"/>
  <c r="R9" i="3" l="1"/>
  <c r="R10" i="3"/>
  <c r="R11" i="3"/>
  <c r="R12" i="3"/>
  <c r="R13" i="3"/>
  <c r="R14" i="3"/>
  <c r="R15" i="3"/>
  <c r="R16" i="3"/>
  <c r="R17" i="3"/>
  <c r="R18" i="3"/>
  <c r="R19" i="3"/>
  <c r="R20" i="3"/>
  <c r="R8" i="3"/>
  <c r="M9" i="3"/>
  <c r="M10" i="3"/>
  <c r="M11" i="3"/>
  <c r="M12" i="3"/>
  <c r="M13" i="3"/>
  <c r="M14" i="3"/>
  <c r="M15" i="3"/>
  <c r="M16" i="3"/>
  <c r="M17" i="3"/>
  <c r="M18" i="3"/>
  <c r="M19" i="3"/>
  <c r="M20" i="3"/>
  <c r="M8" i="3"/>
  <c r="K9" i="3"/>
  <c r="K10" i="3"/>
  <c r="K11" i="3"/>
  <c r="K12" i="3"/>
  <c r="K13" i="3"/>
  <c r="K14" i="3"/>
  <c r="K15" i="3"/>
  <c r="K16" i="3"/>
  <c r="K17" i="3"/>
  <c r="K18" i="3"/>
  <c r="K19" i="3"/>
  <c r="K20" i="3"/>
  <c r="K8" i="3"/>
  <c r="D9" i="3"/>
  <c r="D10" i="3"/>
  <c r="D11" i="3"/>
  <c r="D12" i="3"/>
  <c r="D13" i="3"/>
  <c r="D14" i="3"/>
  <c r="D15" i="3"/>
  <c r="D16" i="3"/>
  <c r="D17" i="3"/>
  <c r="D18" i="3"/>
  <c r="D19" i="3"/>
  <c r="D20" i="3"/>
  <c r="D8" i="3"/>
  <c r="C9" i="3"/>
  <c r="C10" i="3"/>
  <c r="C11" i="3"/>
  <c r="C12" i="3"/>
  <c r="C13" i="3"/>
  <c r="C14" i="3"/>
  <c r="C15" i="3"/>
  <c r="C16" i="3"/>
  <c r="C17" i="3"/>
  <c r="C18" i="3"/>
  <c r="C19" i="3"/>
  <c r="C20" i="3"/>
  <c r="C8" i="3"/>
  <c r="C4" i="3"/>
  <c r="G7" i="1"/>
  <c r="AM14" i="1"/>
  <c r="AN14" i="1"/>
  <c r="AP14" i="1"/>
  <c r="AM15" i="1"/>
  <c r="AN15" i="1"/>
  <c r="AP15" i="1"/>
  <c r="AM16" i="1"/>
  <c r="AN16" i="1"/>
  <c r="AP16" i="1"/>
  <c r="AM17" i="1"/>
  <c r="AN17" i="1"/>
  <c r="AP17" i="1"/>
  <c r="AM18" i="1"/>
  <c r="AN18" i="1"/>
  <c r="AP18" i="1"/>
  <c r="AM19" i="1"/>
  <c r="AN19" i="1"/>
  <c r="AP19" i="1"/>
  <c r="AM20" i="1"/>
  <c r="AN20" i="1"/>
  <c r="AP20" i="1"/>
  <c r="AM21" i="1"/>
  <c r="AN21" i="1"/>
  <c r="AP21" i="1"/>
  <c r="AM22" i="1"/>
  <c r="AN22" i="1"/>
  <c r="AP22" i="1"/>
  <c r="AM23" i="1"/>
  <c r="AN23" i="1"/>
  <c r="AP23" i="1"/>
  <c r="AM24" i="1"/>
  <c r="AN24" i="1"/>
  <c r="AP24" i="1"/>
  <c r="AM25" i="1"/>
  <c r="AN25" i="1"/>
  <c r="AP25" i="1"/>
  <c r="AP13" i="1"/>
  <c r="AN13" i="1"/>
  <c r="AM13" i="1"/>
  <c r="Q16" i="4" l="1"/>
  <c r="J19" i="4"/>
  <c r="J18" i="4"/>
  <c r="J17" i="4"/>
  <c r="J11" i="4"/>
  <c r="N13" i="4"/>
  <c r="J10" i="4"/>
  <c r="E9" i="1"/>
  <c r="F9" i="1" s="1"/>
  <c r="G10" i="1" l="1"/>
  <c r="H10" i="1" l="1"/>
  <c r="G11" i="1"/>
  <c r="H11" i="1" l="1"/>
  <c r="I10" i="1"/>
  <c r="I11" i="1" l="1"/>
  <c r="J10" i="1"/>
  <c r="J11" i="1" l="1"/>
  <c r="K10" i="1"/>
  <c r="K11" i="1" l="1"/>
  <c r="L10" i="1"/>
  <c r="L11" i="1" l="1"/>
  <c r="M10" i="1"/>
  <c r="M11" i="1" l="1"/>
  <c r="N10" i="1"/>
  <c r="N11" i="1" l="1"/>
  <c r="O10" i="1"/>
  <c r="O11" i="1" l="1"/>
  <c r="P10" i="1"/>
  <c r="P11" i="1" l="1"/>
  <c r="Q10" i="1"/>
  <c r="Q11" i="1" l="1"/>
  <c r="R10" i="1"/>
  <c r="R11" i="1" l="1"/>
  <c r="S10" i="1"/>
  <c r="S11" i="1" l="1"/>
  <c r="T10" i="1"/>
  <c r="T11" i="1" l="1"/>
  <c r="U10" i="1"/>
  <c r="U11" i="1" l="1"/>
  <c r="V10" i="1"/>
  <c r="W10" i="1" l="1"/>
  <c r="V11" i="1"/>
  <c r="W11" i="1" l="1"/>
  <c r="X10" i="1"/>
  <c r="Y10" i="1" l="1"/>
  <c r="X11" i="1"/>
  <c r="Z10" i="1" l="1"/>
  <c r="Y11" i="1"/>
  <c r="AA10" i="1" l="1"/>
  <c r="Z11" i="1"/>
  <c r="AB10" i="1" l="1"/>
  <c r="AA11" i="1"/>
  <c r="AC10" i="1" l="1"/>
  <c r="AB11" i="1"/>
  <c r="AC11" i="1" l="1"/>
  <c r="AD10" i="1"/>
  <c r="AE10" i="1" l="1"/>
  <c r="AD11" i="1"/>
  <c r="AF10" i="1" l="1"/>
  <c r="AE11" i="1"/>
  <c r="AG10" i="1" l="1"/>
  <c r="AF11" i="1"/>
  <c r="AH10" i="1" l="1"/>
  <c r="AG11" i="1"/>
  <c r="AI10" i="1" l="1"/>
  <c r="AH11" i="1"/>
  <c r="AJ10" i="1" l="1"/>
  <c r="AI11" i="1"/>
  <c r="AK10" i="1" l="1"/>
  <c r="AJ11" i="1"/>
  <c r="AK11" i="1" l="1"/>
  <c r="AO13" i="1" s="1"/>
  <c r="H8" i="3" s="1"/>
  <c r="Q10" i="4" s="1"/>
  <c r="AL21" i="1"/>
  <c r="G16" i="3" s="1"/>
  <c r="I16" i="3" s="1"/>
  <c r="P16" i="3" s="1"/>
  <c r="AL25" i="1"/>
  <c r="G20" i="3" s="1"/>
  <c r="I20" i="3" s="1"/>
  <c r="P20" i="3" s="1"/>
  <c r="AL17" i="1"/>
  <c r="G12" i="3" s="1"/>
  <c r="I12" i="3" s="1"/>
  <c r="P12" i="3" s="1"/>
  <c r="AL18" i="1"/>
  <c r="G13" i="3" s="1"/>
  <c r="I13" i="3" s="1"/>
  <c r="P13" i="3" s="1"/>
  <c r="AL20" i="1"/>
  <c r="G15" i="3" s="1"/>
  <c r="I15" i="3" s="1"/>
  <c r="P15" i="3" s="1"/>
  <c r="AL22" i="1"/>
  <c r="G17" i="3" s="1"/>
  <c r="I17" i="3" s="1"/>
  <c r="P17" i="3" s="1"/>
  <c r="AL24" i="1"/>
  <c r="G19" i="3" s="1"/>
  <c r="I19" i="3" s="1"/>
  <c r="P19" i="3" s="1"/>
  <c r="AL13" i="1"/>
  <c r="G8" i="3" s="1"/>
  <c r="AL15" i="1"/>
  <c r="G10" i="3" s="1"/>
  <c r="I10" i="3" s="1"/>
  <c r="P10" i="3" s="1"/>
  <c r="AL19" i="1"/>
  <c r="G14" i="3" s="1"/>
  <c r="I14" i="3" s="1"/>
  <c r="P14" i="3" s="1"/>
  <c r="AL16" i="1"/>
  <c r="G11" i="3" s="1"/>
  <c r="I11" i="3" s="1"/>
  <c r="P11" i="3" s="1"/>
  <c r="AL23" i="1"/>
  <c r="G18" i="3" s="1"/>
  <c r="I18" i="3" s="1"/>
  <c r="P18" i="3" s="1"/>
  <c r="AL14" i="1"/>
  <c r="G9" i="3" s="1"/>
  <c r="I9" i="3" s="1"/>
  <c r="P9" i="3" s="1"/>
  <c r="I8" i="3" l="1"/>
  <c r="P8" i="3" s="1"/>
  <c r="J20" i="4" s="1"/>
  <c r="Q9" i="4"/>
  <c r="AO19" i="1"/>
  <c r="H14" i="3" s="1"/>
  <c r="J14" i="3" s="1"/>
  <c r="Q14" i="3" s="1"/>
  <c r="S14" i="3" s="1"/>
  <c r="AO14" i="1"/>
  <c r="H9" i="3" s="1"/>
  <c r="J9" i="3" s="1"/>
  <c r="Q9" i="3" s="1"/>
  <c r="S9" i="3" s="1"/>
  <c r="AO23" i="1"/>
  <c r="H18" i="3" s="1"/>
  <c r="J18" i="3" s="1"/>
  <c r="Q18" i="3" s="1"/>
  <c r="S18" i="3" s="1"/>
  <c r="AO17" i="1"/>
  <c r="H12" i="3" s="1"/>
  <c r="J12" i="3" s="1"/>
  <c r="Q12" i="3" s="1"/>
  <c r="S12" i="3" s="1"/>
  <c r="AO24" i="1"/>
  <c r="H19" i="3" s="1"/>
  <c r="J19" i="3" s="1"/>
  <c r="Q19" i="3" s="1"/>
  <c r="S19" i="3" s="1"/>
  <c r="AO16" i="1"/>
  <c r="H11" i="3" s="1"/>
  <c r="J11" i="3" s="1"/>
  <c r="Q11" i="3" s="1"/>
  <c r="S11" i="3" s="1"/>
  <c r="AO20" i="1"/>
  <c r="H15" i="3" s="1"/>
  <c r="J15" i="3" s="1"/>
  <c r="Q15" i="3" s="1"/>
  <c r="S15" i="3" s="1"/>
  <c r="AO21" i="1"/>
  <c r="H16" i="3" s="1"/>
  <c r="J16" i="3" s="1"/>
  <c r="Q16" i="3" s="1"/>
  <c r="S16" i="3" s="1"/>
  <c r="AO18" i="1"/>
  <c r="H13" i="3" s="1"/>
  <c r="J13" i="3" s="1"/>
  <c r="Q13" i="3" s="1"/>
  <c r="S13" i="3" s="1"/>
  <c r="AO15" i="1"/>
  <c r="H10" i="3" s="1"/>
  <c r="J10" i="3" s="1"/>
  <c r="Q10" i="3" s="1"/>
  <c r="S10" i="3" s="1"/>
  <c r="AO22" i="1"/>
  <c r="H17" i="3" s="1"/>
  <c r="J17" i="3" s="1"/>
  <c r="Q17" i="3" s="1"/>
  <c r="S17" i="3" s="1"/>
  <c r="AO25" i="1"/>
  <c r="H20" i="3" s="1"/>
  <c r="J20" i="3" s="1"/>
  <c r="Q20" i="3" s="1"/>
  <c r="S20" i="3" s="1"/>
  <c r="J8" i="3" l="1"/>
  <c r="J16" i="4" s="1"/>
  <c r="J21" i="4" s="1"/>
  <c r="T11" i="3"/>
  <c r="T19" i="3"/>
  <c r="T17" i="3"/>
  <c r="T18" i="3"/>
  <c r="T15" i="3"/>
  <c r="T10" i="3"/>
  <c r="T9" i="3"/>
  <c r="T20" i="3"/>
  <c r="T13" i="3"/>
  <c r="T14" i="3"/>
  <c r="T12" i="3"/>
  <c r="T16" i="3"/>
  <c r="Q8" i="3" l="1"/>
  <c r="S8" i="3" s="1"/>
  <c r="Q17" i="4" s="1"/>
  <c r="Q21" i="4" s="1"/>
  <c r="N23" i="4" s="1"/>
  <c r="T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7" authorId="0" shapeId="0" xr:uid="{DACEB9CE-4A9D-4CB3-96CC-E289C51D69A3}">
      <text>
        <r>
          <rPr>
            <b/>
            <sz val="9"/>
            <color indexed="81"/>
            <rFont val="Tahoma"/>
            <family val="2"/>
          </rPr>
          <t>DA : Dearness Allowence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12% of Basic Salary</t>
        </r>
      </text>
    </comment>
    <comment ref="M7" authorId="0" shapeId="0" xr:uid="{CC900EEE-7AA4-46D9-A26F-DF854F194ADB}">
      <text>
        <r>
          <rPr>
            <b/>
            <sz val="9"/>
            <color indexed="81"/>
            <rFont val="Tahoma"/>
            <family val="2"/>
          </rPr>
          <t>HRA: House Rent Allowence</t>
        </r>
        <r>
          <rPr>
            <sz val="9"/>
            <color indexed="81"/>
            <rFont val="Tahoma"/>
            <family val="2"/>
          </rPr>
          <t xml:space="preserve">
Metro City - HRA 50% of Basic Salary 
Non-Metro City - HRA 40% of Basic Salary</t>
        </r>
      </text>
    </comment>
    <comment ref="N7" authorId="0" shapeId="0" xr:uid="{380E16ED-5319-4440-AF11-6C4504BAC406}">
      <text>
        <r>
          <rPr>
            <b/>
            <sz val="9"/>
            <color indexed="81"/>
            <rFont val="Tahoma"/>
            <family val="2"/>
          </rPr>
          <t>TA : Travel Allowence</t>
        </r>
        <r>
          <rPr>
            <sz val="9"/>
            <color indexed="81"/>
            <rFont val="Tahoma"/>
            <family val="2"/>
          </rPr>
          <t xml:space="preserve">
is Calculated by the no. of </t>
        </r>
      </text>
    </comment>
    <comment ref="R7" authorId="0" shapeId="0" xr:uid="{71F39BBF-7C97-48F9-8BDF-FBD8BCCF6D7A}">
      <text>
        <r>
          <rPr>
            <b/>
            <sz val="9"/>
            <color indexed="81"/>
            <rFont val="Tahoma"/>
            <family val="2"/>
          </rPr>
          <t>PF : Providend Fund 12% of Basic Salary</t>
        </r>
      </text>
    </comment>
    <comment ref="S7" authorId="0" shapeId="0" xr:uid="{0A66B074-F960-44EF-9170-ECCB99382A60}">
      <text>
        <r>
          <rPr>
            <b/>
            <sz val="9"/>
            <color indexed="81"/>
            <rFont val="Tahoma"/>
            <family val="2"/>
          </rPr>
          <t>ESI : Employee State Insurance. If Salary &lt; 21000 then ESI is  0.75% of Gross Salary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<sst xmlns="http://schemas.openxmlformats.org/spreadsheetml/2006/main" count="221" uniqueCount="93">
  <si>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</si>
  <si>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</si>
  <si>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</si>
  <si>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</si>
  <si>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</si>
  <si>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</si>
  <si>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</si>
  <si>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</si>
  <si>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</si>
  <si>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</si>
  <si>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</si>
  <si>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</si>
  <si>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</si>
  <si>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EMP_ID</t>
  </si>
  <si>
    <t>EMP_Name</t>
  </si>
  <si>
    <t>Buckminster</t>
  </si>
  <si>
    <t>Tesla</t>
  </si>
  <si>
    <t>Ada</t>
  </si>
  <si>
    <t>Galileo</t>
  </si>
  <si>
    <t>Atlas</t>
  </si>
  <si>
    <t>Gaia</t>
  </si>
  <si>
    <t>Apollo</t>
  </si>
  <si>
    <t>Athena</t>
  </si>
  <si>
    <t>Da Vinci</t>
  </si>
  <si>
    <t>Cousteau</t>
  </si>
  <si>
    <t>Amundsen</t>
  </si>
  <si>
    <t>Sagan</t>
  </si>
  <si>
    <t>Orion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</si>
  <si>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</si>
  <si>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</si>
  <si>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</si>
  <si>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</si>
  <si>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</si>
  <si>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</si>
  <si>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</si>
  <si>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</si>
  <si>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</si>
  <si>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</si>
  <si>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</si>
  <si>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 </t>
  </si>
  <si>
    <t>Month</t>
  </si>
  <si>
    <t>Year</t>
  </si>
  <si>
    <t>Total Days</t>
  </si>
  <si>
    <t>Present</t>
  </si>
  <si>
    <t>Week Off</t>
  </si>
  <si>
    <t>Absent</t>
  </si>
  <si>
    <t>P</t>
  </si>
  <si>
    <t>A</t>
  </si>
  <si>
    <t>H</t>
  </si>
  <si>
    <t>Holiday</t>
  </si>
  <si>
    <t>Designation</t>
  </si>
  <si>
    <t>Basic Salary</t>
  </si>
  <si>
    <t>Attendance (Working Days)</t>
  </si>
  <si>
    <t>Per day Salary</t>
  </si>
  <si>
    <t>Salary (Based on Attendance)</t>
  </si>
  <si>
    <t>DA (12%)</t>
  </si>
  <si>
    <t>City</t>
  </si>
  <si>
    <t>HRA</t>
  </si>
  <si>
    <t>TA</t>
  </si>
  <si>
    <t>OT In Hrs</t>
  </si>
  <si>
    <t>Overtime Pay</t>
  </si>
  <si>
    <t>Gross Salary</t>
  </si>
  <si>
    <t>PF (12%)</t>
  </si>
  <si>
    <t>ESI (0.75%)</t>
  </si>
  <si>
    <t>Net Salary</t>
  </si>
  <si>
    <t>Manager</t>
  </si>
  <si>
    <t>Team Lead</t>
  </si>
  <si>
    <t>WFM</t>
  </si>
  <si>
    <t>MIS</t>
  </si>
  <si>
    <t>Executive</t>
  </si>
  <si>
    <t>Sr.Executive</t>
  </si>
  <si>
    <t>Quality</t>
  </si>
  <si>
    <t>Trainer</t>
  </si>
  <si>
    <t>Metro</t>
  </si>
  <si>
    <t>Non-Metro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</si>
  <si>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</si>
  <si>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Github Services Private Limited</t>
  </si>
  <si>
    <t>ABC Colony, Sarovar Road , Kolkata -  870000</t>
  </si>
  <si>
    <t xml:space="preserve">  Employee Details</t>
  </si>
  <si>
    <t xml:space="preserve">  Salary Details</t>
  </si>
  <si>
    <t>Emp_ID</t>
  </si>
  <si>
    <t xml:space="preserve">  Earnings</t>
  </si>
  <si>
    <t xml:space="preserve">  Deductions</t>
  </si>
  <si>
    <t xml:space="preserve">  </t>
  </si>
  <si>
    <t>_______________________________</t>
  </si>
  <si>
    <t>This Is a Sample Salaty Slip Generated for Education Purpose</t>
  </si>
  <si>
    <t>Salary Slip Print Date</t>
  </si>
  <si>
    <t>Loan</t>
  </si>
  <si>
    <t>Tax</t>
  </si>
  <si>
    <t>Gross Deduction</t>
  </si>
  <si>
    <t>Employee  Signature</t>
  </si>
  <si>
    <t>Manager  Signature</t>
  </si>
  <si>
    <r>
      <t xml:space="preserve">Prepared By </t>
    </r>
    <r>
      <rPr>
        <b/>
        <sz val="8"/>
        <color theme="1"/>
        <rFont val="Aptos Narrow"/>
        <family val="2"/>
        <scheme val="minor"/>
      </rPr>
      <t>Rihanshu Bishwakarma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</si>
</sst>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"/>
    <numFmt numFmtId="165" formatCode="#\ &quot;Hrs.&quot;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theme="3" tint="9.9948118533890809E-2"/>
      </left>
      <right/>
      <top style="medium">
        <color theme="3" tint="9.9948118533890809E-2"/>
      </top>
      <bottom/>
      <diagonal/>
    </border>
    <border>
      <left/>
      <right/>
      <top style="medium">
        <color theme="3" tint="9.9948118533890809E-2"/>
      </top>
      <bottom/>
      <diagonal/>
    </border>
    <border>
      <left/>
      <right style="medium">
        <color theme="3" tint="9.9948118533890809E-2"/>
      </right>
      <top style="medium">
        <color theme="3" tint="9.9948118533890809E-2"/>
      </top>
      <bottom/>
      <diagonal/>
    </border>
    <border>
      <left style="medium">
        <color theme="3" tint="9.9948118533890809E-2"/>
      </left>
      <right/>
      <top/>
      <bottom/>
      <diagonal/>
    </border>
    <border>
      <left/>
      <right style="medium">
        <color theme="3" tint="9.9948118533890809E-2"/>
      </right>
      <top/>
      <bottom/>
      <diagonal/>
    </border>
    <border>
      <left style="medium">
        <color theme="3" tint="9.9948118533890809E-2"/>
      </left>
      <right/>
      <top/>
      <bottom style="medium">
        <color theme="3" tint="9.9948118533890809E-2"/>
      </bottom>
      <diagonal/>
    </border>
    <border>
      <left/>
      <right/>
      <top/>
      <bottom style="medium">
        <color theme="3" tint="9.9948118533890809E-2"/>
      </bottom>
      <diagonal/>
    </border>
    <border>
      <left/>
      <right style="medium">
        <color theme="3" tint="9.9948118533890809E-2"/>
      </right>
      <top/>
      <bottom style="medium">
        <color theme="3" tint="9.9948118533890809E-2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7" xfId="0" applyFont="1" applyBorder="1"/>
    <xf numFmtId="0" fontId="9" fillId="0" borderId="2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12" fillId="4" borderId="13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/>
    <xf numFmtId="0" fontId="15" fillId="0" borderId="9" xfId="0" applyFont="1" applyBorder="1"/>
    <xf numFmtId="0" fontId="9" fillId="5" borderId="0" xfId="0" applyFont="1" applyFill="1"/>
    <xf numFmtId="14" fontId="4" fillId="2" borderId="3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left" vertical="center"/>
    </xf>
    <xf numFmtId="44" fontId="14" fillId="4" borderId="14" xfId="0" applyNumberFormat="1" applyFont="1" applyFill="1" applyBorder="1" applyAlignment="1">
      <alignment horizontal="right" vertical="center"/>
    </xf>
    <xf numFmtId="44" fontId="14" fillId="4" borderId="15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44" fontId="15" fillId="0" borderId="9" xfId="0" applyNumberFormat="1" applyFont="1" applyBorder="1" applyAlignment="1">
      <alignment horizontal="right" vertical="center"/>
    </xf>
    <xf numFmtId="44" fontId="15" fillId="0" borderId="12" xfId="0" applyNumberFormat="1" applyFont="1" applyBorder="1" applyAlignment="1">
      <alignment horizontal="right" vertical="center"/>
    </xf>
    <xf numFmtId="44" fontId="15" fillId="0" borderId="10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9" fillId="0" borderId="0" xfId="0" applyFont="1"/>
    <xf numFmtId="0" fontId="15" fillId="0" borderId="0" xfId="0" applyFont="1" applyAlignment="1">
      <alignment horizontal="left" vertical="center"/>
    </xf>
    <xf numFmtId="44" fontId="15" fillId="0" borderId="0" xfId="0" applyNumberFormat="1" applyFont="1" applyAlignment="1">
      <alignment horizontal="right" vertical="center"/>
    </xf>
    <xf numFmtId="44" fontId="15" fillId="0" borderId="11" xfId="0" applyNumberFormat="1" applyFont="1" applyBorder="1" applyAlignment="1">
      <alignment horizontal="right" vertical="center"/>
    </xf>
    <xf numFmtId="44" fontId="15" fillId="0" borderId="7" xfId="0" applyNumberFormat="1" applyFont="1" applyBorder="1" applyAlignment="1">
      <alignment horizontal="right" vertical="center"/>
    </xf>
    <xf numFmtId="44" fontId="15" fillId="0" borderId="5" xfId="0" applyNumberFormat="1" applyFont="1" applyBorder="1" applyAlignment="1">
      <alignment horizontal="right" vertical="center"/>
    </xf>
    <xf numFmtId="44" fontId="15" fillId="0" borderId="16" xfId="0" applyNumberFormat="1" applyFont="1" applyBorder="1" applyAlignment="1">
      <alignment horizontal="right" vertical="center"/>
    </xf>
    <xf numFmtId="44" fontId="15" fillId="0" borderId="6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" fontId="15" fillId="0" borderId="0" xfId="0" applyNumberFormat="1" applyFont="1" applyAlignment="1">
      <alignment horizontal="right" vertical="center"/>
    </xf>
    <xf numFmtId="1" fontId="15" fillId="0" borderId="7" xfId="0" applyNumberFormat="1" applyFont="1" applyBorder="1" applyAlignment="1">
      <alignment horizontal="right" vertical="center"/>
    </xf>
    <xf numFmtId="0" fontId="15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4" fontId="15" fillId="0" borderId="9" xfId="0" applyNumberFormat="1" applyFont="1" applyBorder="1" applyAlignment="1">
      <alignment horizontal="right" vertical="center"/>
    </xf>
    <xf numFmtId="14" fontId="15" fillId="0" borderId="10" xfId="0" applyNumberFormat="1" applyFont="1" applyBorder="1" applyAlignment="1">
      <alignment horizontal="right" vertical="center"/>
    </xf>
    <xf numFmtId="1" fontId="15" fillId="0" borderId="5" xfId="0" applyNumberFormat="1" applyFont="1" applyBorder="1" applyAlignment="1">
      <alignment horizontal="right" vertical="center"/>
    </xf>
    <xf numFmtId="1" fontId="15" fillId="0" borderId="6" xfId="0" applyNumberFormat="1" applyFont="1" applyBorder="1" applyAlignment="1">
      <alignment horizontal="right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3">
    <dxf>
      <font>
        <color theme="9" tint="-0.499984740745262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9" tint="-0.499984740745262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https://github.com/rihanshuuu" TargetMode="External"/><Relationship Id="rId6" Type="http://schemas.openxmlformats.org/officeDocument/2006/relationships/hyperlink" Target="https://www.zbw-mediatalk.eu/de/2015/09/github-und-social-coding-neue-formen-der-softwareentwicklung-und-distribution-als-chance/" TargetMode="External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https://github.com/rihanshuu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9526</xdr:colOff>
      <xdr:row>6</xdr:row>
      <xdr:rowOff>9525</xdr:rowOff>
    </xdr:from>
    <xdr:to>
      <xdr:col>38</xdr:col>
      <xdr:colOff>9524</xdr:colOff>
      <xdr:row>9</xdr:row>
      <xdr:rowOff>3060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9E064-45B2-4AAF-8B10-4A66FAAC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029576" y="152400"/>
          <a:ext cx="504824" cy="408824"/>
        </a:xfrm>
        <a:prstGeom prst="rect">
          <a:avLst/>
        </a:prstGeom>
      </xdr:spPr>
    </xdr:pic>
    <xdr:clientData/>
  </xdr:twoCellAnchor>
  <xdr:twoCellAnchor>
    <xdr:from>
      <xdr:col>3</xdr:col>
      <xdr:colOff>21981</xdr:colOff>
      <xdr:row>7</xdr:row>
      <xdr:rowOff>21981</xdr:rowOff>
    </xdr:from>
    <xdr:to>
      <xdr:col>3</xdr:col>
      <xdr:colOff>183173</xdr:colOff>
      <xdr:row>7</xdr:row>
      <xdr:rowOff>117231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68C0775-849A-C56D-3B76-B4998078F05D}"/>
            </a:ext>
          </a:extLst>
        </xdr:cNvPr>
        <xdr:cNvSpPr/>
      </xdr:nvSpPr>
      <xdr:spPr>
        <a:xfrm>
          <a:off x="21981" y="315058"/>
          <a:ext cx="161192" cy="95250"/>
        </a:xfrm>
        <a:prstGeom prst="rightArrow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38</xdr:col>
      <xdr:colOff>0</xdr:colOff>
      <xdr:row>6</xdr:row>
      <xdr:rowOff>11723</xdr:rowOff>
    </xdr:from>
    <xdr:to>
      <xdr:col>42</xdr:col>
      <xdr:colOff>0</xdr:colOff>
      <xdr:row>9</xdr:row>
      <xdr:rowOff>5258</xdr:rowOff>
    </xdr:to>
    <xdr:pic>
      <xdr:nvPicPr>
        <xdr:cNvPr id="13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08A1F0-3FC2-413F-B68D-D0C1435CD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/>
        <a:stretch/>
      </xdr:blipFill>
      <xdr:spPr>
        <a:xfrm>
          <a:off x="9237785" y="627185"/>
          <a:ext cx="820615" cy="380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9432</xdr:colOff>
      <xdr:row>3</xdr:row>
      <xdr:rowOff>9525</xdr:rowOff>
    </xdr:from>
    <xdr:to>
      <xdr:col>20</xdr:col>
      <xdr:colOff>499828</xdr:colOff>
      <xdr:row>6</xdr:row>
      <xdr:rowOff>3061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CD77E-30CA-4324-8DC4-988927B8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68764" y="9525"/>
          <a:ext cx="490396" cy="41791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D759-66C9-4AD2-978D-CAD8D65CFBDF}">
  <dimension ref="A4:AQ41"/>
  <sheetViews>
    <sheetView showGridLines="0" tabSelected="1" topLeftCell="B1" zoomScale="130" zoomScaleNormal="130" workbookViewId="0">
      <selection activeCell="AR3" sqref="AR3"/>
    </sheetView>
  </sheetViews>
  <sheetFormatPr defaultColWidth="9.109375" defaultRowHeight="10.199999999999999" x14ac:dyDescent="0.3"/>
  <cols>
    <col min="1" max="1" width="0" style="1" hidden="1" customWidth="1"/>
    <col min="2" max="2" width="9.109375" style="1" customWidth="1"/>
    <col min="3" max="3" width="4.109375" style="1" customWidth="1"/>
    <col min="4" max="4" width="3.109375" style="1" customWidth="1"/>
    <col min="5" max="5" width="8.6640625" style="1" bestFit="1" customWidth="1"/>
    <col min="6" max="6" width="9.44140625" style="1" bestFit="1" customWidth="1"/>
    <col min="7" max="37" width="3" style="1" bestFit="1" customWidth="1"/>
    <col min="38" max="38" width="7.5546875" style="1" bestFit="1" customWidth="1"/>
    <col min="39" max="42" width="3" style="1" bestFit="1" customWidth="1"/>
    <col min="43" max="43" width="2.6640625" style="1" customWidth="1"/>
    <col min="44" max="16384" width="9.109375" style="1"/>
  </cols>
  <sheetData>
    <row r="4" spans="4:43" ht="4.5" customHeight="1" x14ac:dyDescent="0.3"/>
    <row r="5" spans="4:43" ht="3.75" customHeight="1" thickBot="1" x14ac:dyDescent="0.35"/>
    <row r="6" spans="4:43" x14ac:dyDescent="0.3"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7"/>
    </row>
    <row r="7" spans="4:43" x14ac:dyDescent="0.3">
      <c r="D7" s="28"/>
      <c r="E7" s="7" t="s">
        <v>40</v>
      </c>
      <c r="F7" s="7" t="s">
        <v>41</v>
      </c>
      <c r="G7" s="35" t="str">
        <f>"Fully Automatic Attendance Sheet - "&amp;E8&amp;" "&amp;F8</f>
        <v>Fully Automatic Attendance Sheet - June 2026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7"/>
      <c r="AM7" s="87"/>
      <c r="AN7" s="87"/>
      <c r="AO7" s="87"/>
      <c r="AP7" s="87"/>
      <c r="AQ7" s="29"/>
    </row>
    <row r="8" spans="4:43" x14ac:dyDescent="0.3">
      <c r="D8" s="28"/>
      <c r="E8" s="7" t="s">
        <v>33</v>
      </c>
      <c r="F8" s="7">
        <v>2026</v>
      </c>
      <c r="G8" s="3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7"/>
      <c r="AM8" s="87"/>
      <c r="AN8" s="87"/>
      <c r="AO8" s="87"/>
      <c r="AP8" s="87"/>
      <c r="AQ8" s="29"/>
    </row>
    <row r="9" spans="4:43" x14ac:dyDescent="0.3">
      <c r="D9" s="28"/>
      <c r="E9" s="24">
        <f>DATEVALUE("1"&amp;E8&amp;F8)</f>
        <v>46174</v>
      </c>
      <c r="F9" s="24">
        <f>EOMONTH(E9,0)</f>
        <v>46203</v>
      </c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7"/>
      <c r="AM9" s="87"/>
      <c r="AN9" s="87"/>
      <c r="AO9" s="87"/>
      <c r="AP9" s="87"/>
      <c r="AQ9" s="29"/>
    </row>
    <row r="10" spans="4:43" ht="15" customHeight="1" x14ac:dyDescent="0.3">
      <c r="D10" s="28"/>
      <c r="E10" s="39" t="s">
        <v>13</v>
      </c>
      <c r="F10" s="39" t="s">
        <v>14</v>
      </c>
      <c r="G10" s="30">
        <f>E9</f>
        <v>46174</v>
      </c>
      <c r="H10" s="30">
        <f>IF(G10&lt;$F$9,G10+1,"")</f>
        <v>46175</v>
      </c>
      <c r="I10" s="30">
        <f t="shared" ref="I10:AK10" si="0">IF(H10&lt;$F$9,H10+1,"")</f>
        <v>46176</v>
      </c>
      <c r="J10" s="30">
        <f t="shared" si="0"/>
        <v>46177</v>
      </c>
      <c r="K10" s="30">
        <f t="shared" si="0"/>
        <v>46178</v>
      </c>
      <c r="L10" s="30">
        <f t="shared" si="0"/>
        <v>46179</v>
      </c>
      <c r="M10" s="30">
        <f t="shared" si="0"/>
        <v>46180</v>
      </c>
      <c r="N10" s="30">
        <f t="shared" si="0"/>
        <v>46181</v>
      </c>
      <c r="O10" s="30">
        <f t="shared" si="0"/>
        <v>46182</v>
      </c>
      <c r="P10" s="30">
        <f t="shared" si="0"/>
        <v>46183</v>
      </c>
      <c r="Q10" s="30">
        <f t="shared" si="0"/>
        <v>46184</v>
      </c>
      <c r="R10" s="30">
        <f t="shared" si="0"/>
        <v>46185</v>
      </c>
      <c r="S10" s="30">
        <f t="shared" si="0"/>
        <v>46186</v>
      </c>
      <c r="T10" s="30">
        <f t="shared" si="0"/>
        <v>46187</v>
      </c>
      <c r="U10" s="30">
        <f t="shared" si="0"/>
        <v>46188</v>
      </c>
      <c r="V10" s="30">
        <f t="shared" si="0"/>
        <v>46189</v>
      </c>
      <c r="W10" s="30">
        <f t="shared" si="0"/>
        <v>46190</v>
      </c>
      <c r="X10" s="30">
        <f t="shared" si="0"/>
        <v>46191</v>
      </c>
      <c r="Y10" s="30">
        <f t="shared" si="0"/>
        <v>46192</v>
      </c>
      <c r="Z10" s="30">
        <f t="shared" si="0"/>
        <v>46193</v>
      </c>
      <c r="AA10" s="30">
        <f t="shared" si="0"/>
        <v>46194</v>
      </c>
      <c r="AB10" s="30">
        <f t="shared" si="0"/>
        <v>46195</v>
      </c>
      <c r="AC10" s="30">
        <f t="shared" si="0"/>
        <v>46196</v>
      </c>
      <c r="AD10" s="30">
        <f t="shared" si="0"/>
        <v>46197</v>
      </c>
      <c r="AE10" s="30">
        <f t="shared" si="0"/>
        <v>46198</v>
      </c>
      <c r="AF10" s="30">
        <f t="shared" si="0"/>
        <v>46199</v>
      </c>
      <c r="AG10" s="30">
        <f t="shared" si="0"/>
        <v>46200</v>
      </c>
      <c r="AH10" s="30">
        <f t="shared" si="0"/>
        <v>46201</v>
      </c>
      <c r="AI10" s="30">
        <f t="shared" si="0"/>
        <v>46202</v>
      </c>
      <c r="AJ10" s="30">
        <f t="shared" si="0"/>
        <v>46203</v>
      </c>
      <c r="AK10" s="30" t="str">
        <f t="shared" si="0"/>
        <v/>
      </c>
      <c r="AL10" s="38" t="s">
        <v>42</v>
      </c>
      <c r="AM10" s="34" t="s">
        <v>43</v>
      </c>
      <c r="AN10" s="34" t="s">
        <v>49</v>
      </c>
      <c r="AO10" s="34" t="s">
        <v>44</v>
      </c>
      <c r="AP10" s="34" t="s">
        <v>45</v>
      </c>
      <c r="AQ10" s="29"/>
    </row>
    <row r="11" spans="4:43" ht="15" customHeight="1" x14ac:dyDescent="0.3">
      <c r="D11" s="28"/>
      <c r="E11" s="39"/>
      <c r="F11" s="39"/>
      <c r="G11" s="34" t="str">
        <f>TEXT(G10,"ddd")</f>
        <v>Mon</v>
      </c>
      <c r="H11" s="34" t="str">
        <f t="shared" ref="H11:AK11" si="1">TEXT(H10,"ddd")</f>
        <v>Tue</v>
      </c>
      <c r="I11" s="34" t="str">
        <f t="shared" si="1"/>
        <v>Wed</v>
      </c>
      <c r="J11" s="34" t="str">
        <f t="shared" si="1"/>
        <v>Thu</v>
      </c>
      <c r="K11" s="34" t="str">
        <f t="shared" si="1"/>
        <v>Fri</v>
      </c>
      <c r="L11" s="34" t="str">
        <f t="shared" si="1"/>
        <v>Sat</v>
      </c>
      <c r="M11" s="34" t="str">
        <f t="shared" si="1"/>
        <v>Sun</v>
      </c>
      <c r="N11" s="34" t="str">
        <f t="shared" si="1"/>
        <v>Mon</v>
      </c>
      <c r="O11" s="34" t="str">
        <f t="shared" si="1"/>
        <v>Tue</v>
      </c>
      <c r="P11" s="34" t="str">
        <f t="shared" si="1"/>
        <v>Wed</v>
      </c>
      <c r="Q11" s="34" t="str">
        <f t="shared" si="1"/>
        <v>Thu</v>
      </c>
      <c r="R11" s="34" t="str">
        <f t="shared" si="1"/>
        <v>Fri</v>
      </c>
      <c r="S11" s="34" t="str">
        <f t="shared" si="1"/>
        <v>Sat</v>
      </c>
      <c r="T11" s="34" t="str">
        <f t="shared" si="1"/>
        <v>Sun</v>
      </c>
      <c r="U11" s="34" t="str">
        <f t="shared" si="1"/>
        <v>Mon</v>
      </c>
      <c r="V11" s="34" t="str">
        <f t="shared" si="1"/>
        <v>Tue</v>
      </c>
      <c r="W11" s="34" t="str">
        <f t="shared" si="1"/>
        <v>Wed</v>
      </c>
      <c r="X11" s="34" t="str">
        <f t="shared" si="1"/>
        <v>Thu</v>
      </c>
      <c r="Y11" s="34" t="str">
        <f t="shared" si="1"/>
        <v>Fri</v>
      </c>
      <c r="Z11" s="34" t="str">
        <f t="shared" si="1"/>
        <v>Sat</v>
      </c>
      <c r="AA11" s="34" t="str">
        <f t="shared" si="1"/>
        <v>Sun</v>
      </c>
      <c r="AB11" s="34" t="str">
        <f t="shared" si="1"/>
        <v>Mon</v>
      </c>
      <c r="AC11" s="34" t="str">
        <f t="shared" si="1"/>
        <v>Tue</v>
      </c>
      <c r="AD11" s="34" t="str">
        <f t="shared" si="1"/>
        <v>Wed</v>
      </c>
      <c r="AE11" s="34" t="str">
        <f t="shared" si="1"/>
        <v>Thu</v>
      </c>
      <c r="AF11" s="34" t="str">
        <f t="shared" si="1"/>
        <v>Fri</v>
      </c>
      <c r="AG11" s="34" t="str">
        <f t="shared" si="1"/>
        <v>Sat</v>
      </c>
      <c r="AH11" s="34" t="str">
        <f t="shared" si="1"/>
        <v>Sun</v>
      </c>
      <c r="AI11" s="34" t="str">
        <f t="shared" si="1"/>
        <v>Mon</v>
      </c>
      <c r="AJ11" s="34" t="str">
        <f t="shared" si="1"/>
        <v>Tue</v>
      </c>
      <c r="AK11" s="34" t="str">
        <f t="shared" si="1"/>
        <v/>
      </c>
      <c r="AL11" s="38"/>
      <c r="AM11" s="34"/>
      <c r="AN11" s="34"/>
      <c r="AO11" s="34"/>
      <c r="AP11" s="34"/>
      <c r="AQ11" s="29"/>
    </row>
    <row r="12" spans="4:43" ht="15" customHeight="1" x14ac:dyDescent="0.3">
      <c r="D12" s="28"/>
      <c r="E12" s="39"/>
      <c r="F12" s="39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8"/>
      <c r="AM12" s="34"/>
      <c r="AN12" s="34"/>
      <c r="AO12" s="34"/>
      <c r="AP12" s="34"/>
      <c r="AQ12" s="29"/>
    </row>
    <row r="13" spans="4:43" x14ac:dyDescent="0.3">
      <c r="D13" s="28"/>
      <c r="E13" s="4" t="s">
        <v>0</v>
      </c>
      <c r="F13" s="4" t="s">
        <v>15</v>
      </c>
      <c r="G13" s="1" t="s">
        <v>48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N13" s="1" t="s">
        <v>46</v>
      </c>
      <c r="AL13" s="1">
        <f>COUNT($G$10:$AK$10)</f>
        <v>30</v>
      </c>
      <c r="AM13" s="1">
        <f>COUNTIF($G13:$AK13,"P")</f>
        <v>6</v>
      </c>
      <c r="AN13" s="1">
        <f>COUNTIF($G13:$AK13,"H")</f>
        <v>1</v>
      </c>
      <c r="AO13" s="1">
        <f>COUNTIF(G$11:AK$12,"Sun")</f>
        <v>4</v>
      </c>
      <c r="AP13" s="1">
        <f>COUNTIF($G13:$AK13,"A")</f>
        <v>0</v>
      </c>
      <c r="AQ13" s="29"/>
    </row>
    <row r="14" spans="4:43" x14ac:dyDescent="0.3">
      <c r="D14" s="28"/>
      <c r="E14" s="2" t="s">
        <v>1</v>
      </c>
      <c r="F14" s="2" t="s">
        <v>16</v>
      </c>
      <c r="G14" s="1" t="s">
        <v>48</v>
      </c>
      <c r="H14" s="1" t="s">
        <v>47</v>
      </c>
      <c r="I14" s="1" t="s">
        <v>46</v>
      </c>
      <c r="J14" s="1" t="s">
        <v>46</v>
      </c>
      <c r="K14" s="1" t="s">
        <v>46</v>
      </c>
      <c r="L14" s="1" t="s">
        <v>46</v>
      </c>
      <c r="N14" s="1" t="s">
        <v>46</v>
      </c>
      <c r="AL14" s="1">
        <f t="shared" ref="AL14:AL25" si="2">COUNT($G$10:$AK$10)</f>
        <v>30</v>
      </c>
      <c r="AM14" s="1">
        <f t="shared" ref="AM14:AM25" si="3">COUNTIF($G14:$AK14,"P")</f>
        <v>5</v>
      </c>
      <c r="AN14" s="1">
        <f t="shared" ref="AN14:AN25" si="4">COUNTIF($G14:$AK14,"H")</f>
        <v>1</v>
      </c>
      <c r="AO14" s="1">
        <f t="shared" ref="AO14:AO25" si="5">COUNTIF(G$11:AK$12,"Sun")</f>
        <v>4</v>
      </c>
      <c r="AP14" s="1">
        <f t="shared" ref="AP14:AP25" si="6">COUNTIF($G14:$AK14,"A")</f>
        <v>1</v>
      </c>
      <c r="AQ14" s="29"/>
    </row>
    <row r="15" spans="4:43" x14ac:dyDescent="0.3">
      <c r="D15" s="28"/>
      <c r="E15" s="2" t="s">
        <v>2</v>
      </c>
      <c r="F15" s="2" t="s">
        <v>17</v>
      </c>
      <c r="G15" s="1" t="s">
        <v>48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N15" s="1" t="s">
        <v>46</v>
      </c>
      <c r="AL15" s="1">
        <f t="shared" si="2"/>
        <v>30</v>
      </c>
      <c r="AM15" s="1">
        <f t="shared" si="3"/>
        <v>6</v>
      </c>
      <c r="AN15" s="1">
        <f t="shared" si="4"/>
        <v>1</v>
      </c>
      <c r="AO15" s="1">
        <f t="shared" si="5"/>
        <v>4</v>
      </c>
      <c r="AP15" s="1">
        <f t="shared" si="6"/>
        <v>0</v>
      </c>
      <c r="AQ15" s="29"/>
    </row>
    <row r="16" spans="4:43" x14ac:dyDescent="0.3">
      <c r="D16" s="28"/>
      <c r="E16" s="2" t="s">
        <v>3</v>
      </c>
      <c r="F16" s="2" t="s">
        <v>18</v>
      </c>
      <c r="G16" s="1" t="s">
        <v>48</v>
      </c>
      <c r="H16" s="1" t="s">
        <v>46</v>
      </c>
      <c r="I16" s="1" t="s">
        <v>46</v>
      </c>
      <c r="J16" s="1" t="s">
        <v>46</v>
      </c>
      <c r="K16" s="1" t="s">
        <v>46</v>
      </c>
      <c r="L16" s="1" t="s">
        <v>46</v>
      </c>
      <c r="N16" s="1" t="s">
        <v>47</v>
      </c>
      <c r="AL16" s="1">
        <f t="shared" si="2"/>
        <v>30</v>
      </c>
      <c r="AM16" s="1">
        <f t="shared" si="3"/>
        <v>5</v>
      </c>
      <c r="AN16" s="1">
        <f t="shared" si="4"/>
        <v>1</v>
      </c>
      <c r="AO16" s="1">
        <f t="shared" si="5"/>
        <v>4</v>
      </c>
      <c r="AP16" s="1">
        <f t="shared" si="6"/>
        <v>1</v>
      </c>
      <c r="AQ16" s="29"/>
    </row>
    <row r="17" spans="1:43" x14ac:dyDescent="0.3">
      <c r="D17" s="28"/>
      <c r="E17" s="2" t="s">
        <v>4</v>
      </c>
      <c r="F17" s="2" t="s">
        <v>19</v>
      </c>
      <c r="G17" s="1" t="s">
        <v>48</v>
      </c>
      <c r="H17" s="1" t="s">
        <v>46</v>
      </c>
      <c r="I17" s="1" t="s">
        <v>46</v>
      </c>
      <c r="J17" s="1" t="s">
        <v>46</v>
      </c>
      <c r="K17" s="1" t="s">
        <v>46</v>
      </c>
      <c r="L17" s="1" t="s">
        <v>46</v>
      </c>
      <c r="N17" s="1" t="s">
        <v>47</v>
      </c>
      <c r="AL17" s="1">
        <f t="shared" si="2"/>
        <v>30</v>
      </c>
      <c r="AM17" s="1">
        <f t="shared" si="3"/>
        <v>5</v>
      </c>
      <c r="AN17" s="1">
        <f t="shared" si="4"/>
        <v>1</v>
      </c>
      <c r="AO17" s="1">
        <f t="shared" si="5"/>
        <v>4</v>
      </c>
      <c r="AP17" s="1">
        <f t="shared" si="6"/>
        <v>1</v>
      </c>
      <c r="AQ17" s="29"/>
    </row>
    <row r="18" spans="1:43" x14ac:dyDescent="0.3">
      <c r="D18" s="28"/>
      <c r="E18" s="2" t="s">
        <v>5</v>
      </c>
      <c r="F18" s="2" t="s">
        <v>20</v>
      </c>
      <c r="G18" s="1" t="s">
        <v>48</v>
      </c>
      <c r="H18" s="1" t="s">
        <v>46</v>
      </c>
      <c r="I18" s="1" t="s">
        <v>46</v>
      </c>
      <c r="J18" s="1" t="s">
        <v>46</v>
      </c>
      <c r="K18" s="1" t="s">
        <v>46</v>
      </c>
      <c r="L18" s="1" t="s">
        <v>46</v>
      </c>
      <c r="N18" s="1" t="s">
        <v>46</v>
      </c>
      <c r="AL18" s="1">
        <f t="shared" si="2"/>
        <v>30</v>
      </c>
      <c r="AM18" s="1">
        <f t="shared" si="3"/>
        <v>6</v>
      </c>
      <c r="AN18" s="1">
        <f t="shared" si="4"/>
        <v>1</v>
      </c>
      <c r="AO18" s="1">
        <f t="shared" si="5"/>
        <v>4</v>
      </c>
      <c r="AP18" s="1">
        <f t="shared" si="6"/>
        <v>0</v>
      </c>
      <c r="AQ18" s="29"/>
    </row>
    <row r="19" spans="1:43" x14ac:dyDescent="0.3">
      <c r="D19" s="28"/>
      <c r="E19" s="2" t="s">
        <v>6</v>
      </c>
      <c r="F19" s="2" t="s">
        <v>21</v>
      </c>
      <c r="G19" s="1" t="s">
        <v>48</v>
      </c>
      <c r="H19" s="1" t="s">
        <v>46</v>
      </c>
      <c r="I19" s="1" t="s">
        <v>46</v>
      </c>
      <c r="J19" s="1" t="s">
        <v>47</v>
      </c>
      <c r="K19" s="1" t="s">
        <v>46</v>
      </c>
      <c r="L19" s="1" t="s">
        <v>46</v>
      </c>
      <c r="N19" s="1" t="s">
        <v>46</v>
      </c>
      <c r="AL19" s="1">
        <f t="shared" si="2"/>
        <v>30</v>
      </c>
      <c r="AM19" s="1">
        <f t="shared" si="3"/>
        <v>5</v>
      </c>
      <c r="AN19" s="1">
        <f t="shared" si="4"/>
        <v>1</v>
      </c>
      <c r="AO19" s="1">
        <f t="shared" si="5"/>
        <v>4</v>
      </c>
      <c r="AP19" s="1">
        <f t="shared" si="6"/>
        <v>1</v>
      </c>
      <c r="AQ19" s="29"/>
    </row>
    <row r="20" spans="1:43" x14ac:dyDescent="0.3">
      <c r="D20" s="28"/>
      <c r="E20" s="2" t="s">
        <v>7</v>
      </c>
      <c r="F20" s="2" t="s">
        <v>22</v>
      </c>
      <c r="G20" s="1" t="s">
        <v>48</v>
      </c>
      <c r="H20" s="1" t="s">
        <v>46</v>
      </c>
      <c r="I20" s="1" t="s">
        <v>46</v>
      </c>
      <c r="J20" s="1" t="s">
        <v>46</v>
      </c>
      <c r="K20" s="1" t="s">
        <v>46</v>
      </c>
      <c r="L20" s="1" t="s">
        <v>46</v>
      </c>
      <c r="N20" s="1" t="s">
        <v>46</v>
      </c>
      <c r="AL20" s="1">
        <f t="shared" si="2"/>
        <v>30</v>
      </c>
      <c r="AM20" s="1">
        <f t="shared" si="3"/>
        <v>6</v>
      </c>
      <c r="AN20" s="1">
        <f t="shared" si="4"/>
        <v>1</v>
      </c>
      <c r="AO20" s="1">
        <f t="shared" si="5"/>
        <v>4</v>
      </c>
      <c r="AP20" s="1">
        <f t="shared" si="6"/>
        <v>0</v>
      </c>
      <c r="AQ20" s="29"/>
    </row>
    <row r="21" spans="1:43" x14ac:dyDescent="0.3">
      <c r="D21" s="28"/>
      <c r="E21" s="2" t="s">
        <v>8</v>
      </c>
      <c r="F21" s="2" t="s">
        <v>23</v>
      </c>
      <c r="G21" s="1" t="s">
        <v>48</v>
      </c>
      <c r="H21" s="1" t="s">
        <v>46</v>
      </c>
      <c r="I21" s="1" t="s">
        <v>46</v>
      </c>
      <c r="J21" s="1" t="s">
        <v>46</v>
      </c>
      <c r="K21" s="1" t="s">
        <v>46</v>
      </c>
      <c r="L21" s="1" t="s">
        <v>46</v>
      </c>
      <c r="N21" s="1" t="s">
        <v>46</v>
      </c>
      <c r="AL21" s="1">
        <f t="shared" si="2"/>
        <v>30</v>
      </c>
      <c r="AM21" s="1">
        <f t="shared" si="3"/>
        <v>6</v>
      </c>
      <c r="AN21" s="1">
        <f t="shared" si="4"/>
        <v>1</v>
      </c>
      <c r="AO21" s="1">
        <f t="shared" si="5"/>
        <v>4</v>
      </c>
      <c r="AP21" s="1">
        <f t="shared" si="6"/>
        <v>0</v>
      </c>
      <c r="AQ21" s="29"/>
    </row>
    <row r="22" spans="1:43" x14ac:dyDescent="0.3">
      <c r="D22" s="28"/>
      <c r="E22" s="2" t="s">
        <v>9</v>
      </c>
      <c r="F22" s="2" t="s">
        <v>24</v>
      </c>
      <c r="G22" s="1" t="s">
        <v>48</v>
      </c>
      <c r="H22" s="1" t="s">
        <v>46</v>
      </c>
      <c r="I22" s="1" t="s">
        <v>47</v>
      </c>
      <c r="J22" s="1" t="s">
        <v>46</v>
      </c>
      <c r="K22" s="1" t="s">
        <v>46</v>
      </c>
      <c r="L22" s="1" t="s">
        <v>46</v>
      </c>
      <c r="N22" s="1" t="s">
        <v>46</v>
      </c>
      <c r="AL22" s="1">
        <f t="shared" si="2"/>
        <v>30</v>
      </c>
      <c r="AM22" s="1">
        <f t="shared" si="3"/>
        <v>5</v>
      </c>
      <c r="AN22" s="1">
        <f t="shared" si="4"/>
        <v>1</v>
      </c>
      <c r="AO22" s="1">
        <f t="shared" si="5"/>
        <v>4</v>
      </c>
      <c r="AP22" s="1">
        <f t="shared" si="6"/>
        <v>1</v>
      </c>
      <c r="AQ22" s="29"/>
    </row>
    <row r="23" spans="1:43" x14ac:dyDescent="0.3">
      <c r="D23" s="28"/>
      <c r="E23" s="2" t="s">
        <v>10</v>
      </c>
      <c r="F23" s="2" t="s">
        <v>25</v>
      </c>
      <c r="G23" s="1" t="s">
        <v>48</v>
      </c>
      <c r="H23" s="1" t="s">
        <v>46</v>
      </c>
      <c r="I23" s="1" t="s">
        <v>46</v>
      </c>
      <c r="J23" s="1" t="s">
        <v>46</v>
      </c>
      <c r="K23" s="1" t="s">
        <v>46</v>
      </c>
      <c r="L23" s="1" t="s">
        <v>46</v>
      </c>
      <c r="N23" s="1" t="s">
        <v>46</v>
      </c>
      <c r="AL23" s="1">
        <f t="shared" si="2"/>
        <v>30</v>
      </c>
      <c r="AM23" s="1">
        <f t="shared" si="3"/>
        <v>6</v>
      </c>
      <c r="AN23" s="1">
        <f t="shared" si="4"/>
        <v>1</v>
      </c>
      <c r="AO23" s="1">
        <f t="shared" si="5"/>
        <v>4</v>
      </c>
      <c r="AP23" s="1">
        <f t="shared" si="6"/>
        <v>0</v>
      </c>
      <c r="AQ23" s="29"/>
    </row>
    <row r="24" spans="1:43" x14ac:dyDescent="0.3">
      <c r="D24" s="28"/>
      <c r="E24" s="2" t="s">
        <v>11</v>
      </c>
      <c r="F24" s="2" t="s">
        <v>26</v>
      </c>
      <c r="G24" s="1" t="s">
        <v>48</v>
      </c>
      <c r="H24" s="1" t="s">
        <v>46</v>
      </c>
      <c r="I24" s="1" t="s">
        <v>46</v>
      </c>
      <c r="J24" s="1" t="s">
        <v>46</v>
      </c>
      <c r="K24" s="1" t="s">
        <v>46</v>
      </c>
      <c r="L24" s="1" t="s">
        <v>46</v>
      </c>
      <c r="N24" s="1" t="s">
        <v>46</v>
      </c>
      <c r="AL24" s="1">
        <f t="shared" si="2"/>
        <v>30</v>
      </c>
      <c r="AM24" s="1">
        <f t="shared" si="3"/>
        <v>6</v>
      </c>
      <c r="AN24" s="1">
        <f t="shared" si="4"/>
        <v>1</v>
      </c>
      <c r="AO24" s="1">
        <f t="shared" si="5"/>
        <v>4</v>
      </c>
      <c r="AP24" s="1">
        <f t="shared" si="6"/>
        <v>0</v>
      </c>
      <c r="AQ24" s="29"/>
    </row>
    <row r="25" spans="1:43" x14ac:dyDescent="0.3">
      <c r="D25" s="28"/>
      <c r="E25" s="2" t="s">
        <v>12</v>
      </c>
      <c r="F25" s="2" t="s">
        <v>27</v>
      </c>
      <c r="G25" s="1" t="s">
        <v>48</v>
      </c>
      <c r="H25" s="1" t="s">
        <v>46</v>
      </c>
      <c r="I25" s="1" t="s">
        <v>46</v>
      </c>
      <c r="J25" s="1" t="s">
        <v>46</v>
      </c>
      <c r="K25" s="1" t="s">
        <v>46</v>
      </c>
      <c r="L25" s="1" t="s">
        <v>46</v>
      </c>
      <c r="N25" s="1" t="s">
        <v>46</v>
      </c>
      <c r="AL25" s="1">
        <f t="shared" si="2"/>
        <v>30</v>
      </c>
      <c r="AM25" s="1">
        <f t="shared" si="3"/>
        <v>6</v>
      </c>
      <c r="AN25" s="1">
        <f t="shared" si="4"/>
        <v>1</v>
      </c>
      <c r="AO25" s="1">
        <f t="shared" si="5"/>
        <v>4</v>
      </c>
      <c r="AP25" s="1">
        <f t="shared" si="6"/>
        <v>0</v>
      </c>
      <c r="AQ25" s="29"/>
    </row>
    <row r="26" spans="1:43" ht="13.5" customHeight="1" thickBot="1" x14ac:dyDescent="0.35"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3"/>
    </row>
    <row r="30" spans="1:43" x14ac:dyDescent="0.3">
      <c r="A30" s="1" t="s">
        <v>28</v>
      </c>
    </row>
    <row r="31" spans="1:43" x14ac:dyDescent="0.3">
      <c r="A31" s="1" t="s">
        <v>29</v>
      </c>
    </row>
    <row r="32" spans="1:43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</sheetData>
  <mergeCells count="41">
    <mergeCell ref="J11:J12"/>
    <mergeCell ref="E10:E12"/>
    <mergeCell ref="F10:F12"/>
    <mergeCell ref="G11:G12"/>
    <mergeCell ref="H11:H12"/>
    <mergeCell ref="I11:I12"/>
    <mergeCell ref="V11:V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H11:AH12"/>
    <mergeCell ref="W11:W12"/>
    <mergeCell ref="X11:X12"/>
    <mergeCell ref="Y11:Y12"/>
    <mergeCell ref="Z11:Z12"/>
    <mergeCell ref="AA11:AA12"/>
    <mergeCell ref="AB11:AB12"/>
    <mergeCell ref="AP10:AP12"/>
    <mergeCell ref="AN10:AN12"/>
    <mergeCell ref="G7:AK9"/>
    <mergeCell ref="AL7:AL9"/>
    <mergeCell ref="AM7:AP9"/>
    <mergeCell ref="AI11:AI12"/>
    <mergeCell ref="AJ11:AJ12"/>
    <mergeCell ref="AK11:AK12"/>
    <mergeCell ref="AL10:AL12"/>
    <mergeCell ref="AM10:AM12"/>
    <mergeCell ref="AO10:AO12"/>
    <mergeCell ref="AC11:AC12"/>
    <mergeCell ref="AD11:AD12"/>
    <mergeCell ref="AE11:AE12"/>
    <mergeCell ref="AF11:AF12"/>
    <mergeCell ref="AG11:AG12"/>
  </mergeCells>
  <phoneticPr fontId="1" type="noConversion"/>
  <conditionalFormatting sqref="E13:F25">
    <cfRule type="duplicateValues" dxfId="12" priority="19"/>
  </conditionalFormatting>
  <conditionalFormatting sqref="G10:AJ10">
    <cfRule type="timePeriod" dxfId="11" priority="13" timePeriod="today">
      <formula>FLOOR(G10,1)=TODAY()</formula>
    </cfRule>
  </conditionalFormatting>
  <conditionalFormatting sqref="G13:AK25">
    <cfRule type="containsText" dxfId="10" priority="5" operator="containsText" text="H">
      <formula>NOT(ISERROR(SEARCH("H",G13)))</formula>
    </cfRule>
    <cfRule type="containsText" dxfId="9" priority="6" operator="containsText" text="P">
      <formula>NOT(ISERROR(SEARCH("P",G13)))</formula>
    </cfRule>
    <cfRule type="containsText" dxfId="8" priority="7" operator="containsText" text="A">
      <formula>NOT(ISERROR(SEARCH("A",G13)))</formula>
    </cfRule>
    <cfRule type="containsText" dxfId="7" priority="8" operator="containsText" text="P">
      <formula>NOT(ISERROR(SEARCH("P",G13)))</formula>
    </cfRule>
    <cfRule type="expression" dxfId="6" priority="14">
      <formula>G$11="Sun"</formula>
    </cfRule>
    <cfRule type="expression" priority="15">
      <formula>G$11="Sun"</formula>
    </cfRule>
  </conditionalFormatting>
  <conditionalFormatting sqref="G10:AP12">
    <cfRule type="notContainsBlanks" dxfId="5" priority="17">
      <formula>LEN(TRIM(G10))&gt;0</formula>
    </cfRule>
  </conditionalFormatting>
  <conditionalFormatting sqref="G10:AP25">
    <cfRule type="expression" dxfId="4" priority="16">
      <formula>G$10&lt;&gt;""</formula>
    </cfRule>
  </conditionalFormatting>
  <conditionalFormatting sqref="AK25">
    <cfRule type="containsText" dxfId="3" priority="1" operator="containsText" text="H">
      <formula>NOT(ISERROR(SEARCH("H",AK25)))</formula>
    </cfRule>
    <cfRule type="containsText" dxfId="2" priority="2" operator="containsText" text="P">
      <formula>NOT(ISERROR(SEARCH("P",AK25)))</formula>
    </cfRule>
    <cfRule type="containsText" dxfId="1" priority="3" operator="containsText" text="A">
      <formula>NOT(ISERROR(SEARCH("A",AK25)))</formula>
    </cfRule>
    <cfRule type="containsText" dxfId="0" priority="4" operator="containsText" text="P">
      <formula>NOT(ISERROR(SEARCH("P",AK25)))</formula>
    </cfRule>
  </conditionalFormatting>
  <dataValidations disablePrompts="1" count="3">
    <dataValidation type="list" allowBlank="1" showInputMessage="1" showErrorMessage="1" sqref="F8" xr:uid="{DF2C9B9C-2A0F-42B8-AAFC-17B171530107}">
      <formula1>"2026,2027,2028"</formula1>
    </dataValidation>
    <dataValidation type="custom" allowBlank="1" showInputMessage="1" showErrorMessage="1" errorTitle="Weekly Off" error="Attendance Not Allowed" sqref="G13:AK25" xr:uid="{0D58D6A0-C620-4B08-AC5D-4FF46B691E31}">
      <formula1>G$11&lt;&gt;"Sun"</formula1>
    </dataValidation>
    <dataValidation type="list" allowBlank="1" showInputMessage="1" showErrorMessage="1" sqref="E8" xr:uid="{26198805-FA5C-4E00-BF3A-BAB6ED0264E2}">
      <formula1>$A$30:$A$41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A6F6-7EC9-4992-B1D3-EFA004F9150C}">
  <dimension ref="C4:T20"/>
  <sheetViews>
    <sheetView showGridLines="0" zoomScale="145" zoomScaleNormal="145" workbookViewId="0">
      <selection activeCell="F26" sqref="F26"/>
    </sheetView>
  </sheetViews>
  <sheetFormatPr defaultColWidth="9.109375" defaultRowHeight="10.199999999999999" x14ac:dyDescent="0.3"/>
  <cols>
    <col min="1" max="1" width="9.109375" style="6"/>
    <col min="2" max="2" width="1.77734375" style="6" customWidth="1"/>
    <col min="3" max="3" width="6.5546875" style="10" bestFit="1" customWidth="1"/>
    <col min="4" max="4" width="9.33203125" style="10" bestFit="1" customWidth="1"/>
    <col min="5" max="5" width="9.109375" style="10" bestFit="1" customWidth="1"/>
    <col min="6" max="6" width="8.33203125" style="10" bestFit="1" customWidth="1"/>
    <col min="7" max="7" width="4" style="10" bestFit="1" customWidth="1"/>
    <col min="8" max="8" width="8.6640625" style="10" customWidth="1"/>
    <col min="9" max="9" width="4.88671875" style="10" bestFit="1" customWidth="1"/>
    <col min="10" max="10" width="8.88671875" style="10" customWidth="1"/>
    <col min="11" max="11" width="5.33203125" style="10" bestFit="1" customWidth="1"/>
    <col min="12" max="12" width="8.44140625" style="10" bestFit="1" customWidth="1"/>
    <col min="13" max="13" width="5.33203125" style="10" bestFit="1" customWidth="1"/>
    <col min="14" max="14" width="4.44140625" style="10" bestFit="1" customWidth="1"/>
    <col min="15" max="15" width="5.5546875" style="10" bestFit="1" customWidth="1"/>
    <col min="16" max="16" width="6.44140625" style="10" bestFit="1" customWidth="1"/>
    <col min="17" max="18" width="5.33203125" style="10" bestFit="1" customWidth="1"/>
    <col min="19" max="20" width="6.109375" style="10" bestFit="1" customWidth="1"/>
    <col min="21" max="16384" width="9.109375" style="6"/>
  </cols>
  <sheetData>
    <row r="4" spans="3:20" x14ac:dyDescent="0.3">
      <c r="C4" s="40" t="str">
        <f>"Fully Automatic Salary Sheet - "&amp;Attendance_Sheet!E8&amp;" "&amp;Attendance_Sheet!F8&amp;""</f>
        <v>Fully Automatic Salary Sheet - June 2026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3:20" x14ac:dyDescent="0.3"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3:20" x14ac:dyDescent="0.3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3:20" ht="30.6" x14ac:dyDescent="0.3">
      <c r="C7" s="5" t="s">
        <v>13</v>
      </c>
      <c r="D7" s="5" t="s">
        <v>14</v>
      </c>
      <c r="E7" s="5" t="s">
        <v>50</v>
      </c>
      <c r="F7" s="5" t="s">
        <v>51</v>
      </c>
      <c r="G7" s="5" t="s">
        <v>42</v>
      </c>
      <c r="H7" s="5" t="s">
        <v>52</v>
      </c>
      <c r="I7" s="5" t="s">
        <v>53</v>
      </c>
      <c r="J7" s="5" t="s">
        <v>54</v>
      </c>
      <c r="K7" s="5" t="s">
        <v>55</v>
      </c>
      <c r="L7" s="5" t="s">
        <v>56</v>
      </c>
      <c r="M7" s="5" t="s">
        <v>57</v>
      </c>
      <c r="N7" s="5" t="s">
        <v>58</v>
      </c>
      <c r="O7" s="5" t="s">
        <v>59</v>
      </c>
      <c r="P7" s="5" t="s">
        <v>60</v>
      </c>
      <c r="Q7" s="5" t="s">
        <v>61</v>
      </c>
      <c r="R7" s="5" t="s">
        <v>62</v>
      </c>
      <c r="S7" s="5" t="s">
        <v>63</v>
      </c>
      <c r="T7" s="5" t="s">
        <v>64</v>
      </c>
    </row>
    <row r="8" spans="3:20" x14ac:dyDescent="0.3">
      <c r="C8" s="3" t="str">
        <f>Attendance_Sheet!E13</f>
        <v>EMP001</v>
      </c>
      <c r="D8" s="3" t="str">
        <f>Attendance_Sheet!F13</f>
        <v>Buckminster</v>
      </c>
      <c r="E8" s="3" t="s">
        <v>65</v>
      </c>
      <c r="F8" s="3">
        <v>95000</v>
      </c>
      <c r="G8" s="3">
        <f>Attendance_Sheet!AL13</f>
        <v>30</v>
      </c>
      <c r="H8" s="3">
        <f>SUM(Attendance_Sheet!AM13:AO13)</f>
        <v>11</v>
      </c>
      <c r="I8" s="8">
        <f>F8/G8</f>
        <v>3166.6666666666665</v>
      </c>
      <c r="J8" s="8">
        <f>H8*I8</f>
        <v>34833.333333333328</v>
      </c>
      <c r="K8" s="3">
        <f>F8*12%</f>
        <v>11400</v>
      </c>
      <c r="L8" s="3" t="s">
        <v>73</v>
      </c>
      <c r="M8" s="3">
        <f>IF(L8="Metro",F8*50%,F8*40%)</f>
        <v>47500</v>
      </c>
      <c r="N8" s="3">
        <v>1000</v>
      </c>
      <c r="O8" s="9">
        <v>5</v>
      </c>
      <c r="P8" s="8">
        <f>I8/9*O8</f>
        <v>1759.2592592592591</v>
      </c>
      <c r="Q8" s="8">
        <f>J8+K8+M8+N8</f>
        <v>94733.333333333328</v>
      </c>
      <c r="R8" s="3">
        <f>F8*12%</f>
        <v>11400</v>
      </c>
      <c r="S8" s="3" t="str">
        <f>IF(Q8&lt;=21000,Q8*0.75%,"0")</f>
        <v>0</v>
      </c>
      <c r="T8" s="8">
        <f>IF(ISNUMBER(S8),Q8+R8+S8,Q8+R8)</f>
        <v>106133.33333333333</v>
      </c>
    </row>
    <row r="9" spans="3:20" x14ac:dyDescent="0.3">
      <c r="C9" s="3" t="str">
        <f>Attendance_Sheet!E14</f>
        <v>EMP002</v>
      </c>
      <c r="D9" s="3" t="str">
        <f>Attendance_Sheet!F14</f>
        <v>Tesla</v>
      </c>
      <c r="E9" s="3" t="s">
        <v>66</v>
      </c>
      <c r="F9" s="3">
        <v>55000</v>
      </c>
      <c r="G9" s="3">
        <f>Attendance_Sheet!AL14</f>
        <v>30</v>
      </c>
      <c r="H9" s="3">
        <f>SUM(Attendance_Sheet!AM14:AO14)</f>
        <v>10</v>
      </c>
      <c r="I9" s="8">
        <f t="shared" ref="I9:I20" si="0">F9/G9</f>
        <v>1833.3333333333333</v>
      </c>
      <c r="J9" s="8">
        <f t="shared" ref="J9:J20" si="1">H9*I9</f>
        <v>18333.333333333332</v>
      </c>
      <c r="K9" s="3">
        <f t="shared" ref="K9:K20" si="2">F9*12%</f>
        <v>6600</v>
      </c>
      <c r="L9" s="3" t="s">
        <v>73</v>
      </c>
      <c r="M9" s="3">
        <f t="shared" ref="M9:M20" si="3">IF(L9="Metro",F9*50%,F9*40%)</f>
        <v>27500</v>
      </c>
      <c r="N9" s="3">
        <v>2000</v>
      </c>
      <c r="O9" s="9">
        <v>6</v>
      </c>
      <c r="P9" s="8">
        <f t="shared" ref="P9:P20" si="4">I9/9*O9</f>
        <v>1222.2222222222222</v>
      </c>
      <c r="Q9" s="8">
        <f t="shared" ref="Q9:Q20" si="5">J9+K9+M9+N9</f>
        <v>54433.333333333328</v>
      </c>
      <c r="R9" s="3">
        <f t="shared" ref="R9:R20" si="6">F9*12%</f>
        <v>6600</v>
      </c>
      <c r="S9" s="3" t="str">
        <f t="shared" ref="S9:S20" si="7">IF(Q9&lt;=21000,Q9*0.75%,"0")</f>
        <v>0</v>
      </c>
      <c r="T9" s="8">
        <f t="shared" ref="T9:T20" si="8">IF(ISNUMBER(S9),Q9+R9+S9,Q9+R9)</f>
        <v>61033.333333333328</v>
      </c>
    </row>
    <row r="10" spans="3:20" x14ac:dyDescent="0.3">
      <c r="C10" s="3" t="str">
        <f>Attendance_Sheet!E15</f>
        <v>EMP003</v>
      </c>
      <c r="D10" s="3" t="str">
        <f>Attendance_Sheet!F15</f>
        <v>Ada</v>
      </c>
      <c r="E10" s="3" t="s">
        <v>66</v>
      </c>
      <c r="F10" s="3">
        <v>55000</v>
      </c>
      <c r="G10" s="3">
        <f>Attendance_Sheet!AL15</f>
        <v>30</v>
      </c>
      <c r="H10" s="3">
        <f>SUM(Attendance_Sheet!AM15:AO15)</f>
        <v>11</v>
      </c>
      <c r="I10" s="8">
        <f t="shared" si="0"/>
        <v>1833.3333333333333</v>
      </c>
      <c r="J10" s="8">
        <f t="shared" si="1"/>
        <v>20166.666666666664</v>
      </c>
      <c r="K10" s="3">
        <f t="shared" si="2"/>
        <v>6600</v>
      </c>
      <c r="L10" s="3" t="s">
        <v>73</v>
      </c>
      <c r="M10" s="3">
        <f t="shared" si="3"/>
        <v>27500</v>
      </c>
      <c r="N10" s="3">
        <v>1000</v>
      </c>
      <c r="O10" s="9">
        <v>7</v>
      </c>
      <c r="P10" s="8">
        <f t="shared" si="4"/>
        <v>1425.9259259259259</v>
      </c>
      <c r="Q10" s="8">
        <f t="shared" si="5"/>
        <v>55266.666666666664</v>
      </c>
      <c r="R10" s="3">
        <f t="shared" si="6"/>
        <v>6600</v>
      </c>
      <c r="S10" s="3" t="str">
        <f t="shared" si="7"/>
        <v>0</v>
      </c>
      <c r="T10" s="8">
        <f t="shared" si="8"/>
        <v>61866.666666666664</v>
      </c>
    </row>
    <row r="11" spans="3:20" x14ac:dyDescent="0.3">
      <c r="C11" s="3" t="str">
        <f>Attendance_Sheet!E16</f>
        <v>EMP004</v>
      </c>
      <c r="D11" s="3" t="str">
        <f>Attendance_Sheet!F16</f>
        <v>Galileo</v>
      </c>
      <c r="E11" s="3" t="s">
        <v>68</v>
      </c>
      <c r="F11" s="3">
        <v>45000</v>
      </c>
      <c r="G11" s="3">
        <f>Attendance_Sheet!AL16</f>
        <v>30</v>
      </c>
      <c r="H11" s="3">
        <f>SUM(Attendance_Sheet!AM16:AO16)</f>
        <v>10</v>
      </c>
      <c r="I11" s="8">
        <f t="shared" si="0"/>
        <v>1500</v>
      </c>
      <c r="J11" s="8">
        <f t="shared" si="1"/>
        <v>15000</v>
      </c>
      <c r="K11" s="3">
        <f t="shared" si="2"/>
        <v>5400</v>
      </c>
      <c r="L11" s="3" t="s">
        <v>74</v>
      </c>
      <c r="M11" s="3">
        <f t="shared" si="3"/>
        <v>18000</v>
      </c>
      <c r="N11" s="3">
        <v>2000</v>
      </c>
      <c r="O11" s="9">
        <v>8</v>
      </c>
      <c r="P11" s="8">
        <f t="shared" si="4"/>
        <v>1333.3333333333333</v>
      </c>
      <c r="Q11" s="8">
        <f t="shared" si="5"/>
        <v>40400</v>
      </c>
      <c r="R11" s="3">
        <f t="shared" si="6"/>
        <v>5400</v>
      </c>
      <c r="S11" s="3" t="str">
        <f t="shared" si="7"/>
        <v>0</v>
      </c>
      <c r="T11" s="8">
        <f t="shared" si="8"/>
        <v>45800</v>
      </c>
    </row>
    <row r="12" spans="3:20" x14ac:dyDescent="0.3">
      <c r="C12" s="3" t="str">
        <f>Attendance_Sheet!E17</f>
        <v>EMP005</v>
      </c>
      <c r="D12" s="3" t="str">
        <f>Attendance_Sheet!F17</f>
        <v>Atlas</v>
      </c>
      <c r="E12" s="3" t="s">
        <v>67</v>
      </c>
      <c r="F12" s="3">
        <v>35000</v>
      </c>
      <c r="G12" s="3">
        <f>Attendance_Sheet!AL17</f>
        <v>30</v>
      </c>
      <c r="H12" s="3">
        <f>SUM(Attendance_Sheet!AM17:AO17)</f>
        <v>10</v>
      </c>
      <c r="I12" s="8">
        <f t="shared" si="0"/>
        <v>1166.6666666666667</v>
      </c>
      <c r="J12" s="8">
        <f t="shared" si="1"/>
        <v>11666.666666666668</v>
      </c>
      <c r="K12" s="3">
        <f t="shared" si="2"/>
        <v>4200</v>
      </c>
      <c r="L12" s="3" t="s">
        <v>74</v>
      </c>
      <c r="M12" s="3">
        <f t="shared" si="3"/>
        <v>14000</v>
      </c>
      <c r="N12" s="3">
        <v>1000</v>
      </c>
      <c r="O12" s="9">
        <v>10</v>
      </c>
      <c r="P12" s="8">
        <f t="shared" si="4"/>
        <v>1296.2962962962965</v>
      </c>
      <c r="Q12" s="8">
        <f t="shared" si="5"/>
        <v>30866.666666666668</v>
      </c>
      <c r="R12" s="3">
        <f t="shared" si="6"/>
        <v>4200</v>
      </c>
      <c r="S12" s="3" t="str">
        <f t="shared" si="7"/>
        <v>0</v>
      </c>
      <c r="T12" s="8">
        <f t="shared" si="8"/>
        <v>35066.666666666672</v>
      </c>
    </row>
    <row r="13" spans="3:20" x14ac:dyDescent="0.3">
      <c r="C13" s="3" t="str">
        <f>Attendance_Sheet!E18</f>
        <v>EMP006</v>
      </c>
      <c r="D13" s="3" t="str">
        <f>Attendance_Sheet!F18</f>
        <v>Gaia</v>
      </c>
      <c r="E13" s="3" t="s">
        <v>69</v>
      </c>
      <c r="F13" s="3">
        <v>15000</v>
      </c>
      <c r="G13" s="3">
        <f>Attendance_Sheet!AL18</f>
        <v>30</v>
      </c>
      <c r="H13" s="3">
        <f>SUM(Attendance_Sheet!AM18:AO18)</f>
        <v>11</v>
      </c>
      <c r="I13" s="8">
        <f t="shared" si="0"/>
        <v>500</v>
      </c>
      <c r="J13" s="8">
        <f t="shared" si="1"/>
        <v>5500</v>
      </c>
      <c r="K13" s="3">
        <f t="shared" si="2"/>
        <v>1800</v>
      </c>
      <c r="L13" s="3" t="s">
        <v>73</v>
      </c>
      <c r="M13" s="3">
        <f t="shared" si="3"/>
        <v>7500</v>
      </c>
      <c r="N13" s="3">
        <v>1000</v>
      </c>
      <c r="O13" s="9">
        <v>8</v>
      </c>
      <c r="P13" s="8">
        <f t="shared" si="4"/>
        <v>444.44444444444446</v>
      </c>
      <c r="Q13" s="8">
        <f t="shared" si="5"/>
        <v>15800</v>
      </c>
      <c r="R13" s="3">
        <f t="shared" si="6"/>
        <v>1800</v>
      </c>
      <c r="S13" s="3">
        <f t="shared" si="7"/>
        <v>118.5</v>
      </c>
      <c r="T13" s="8">
        <f t="shared" si="8"/>
        <v>17718.5</v>
      </c>
    </row>
    <row r="14" spans="3:20" x14ac:dyDescent="0.3">
      <c r="C14" s="3" t="str">
        <f>Attendance_Sheet!E19</f>
        <v>EMP007</v>
      </c>
      <c r="D14" s="3" t="str">
        <f>Attendance_Sheet!F19</f>
        <v>Apollo</v>
      </c>
      <c r="E14" s="3" t="s">
        <v>69</v>
      </c>
      <c r="F14" s="3">
        <v>15000</v>
      </c>
      <c r="G14" s="3">
        <f>Attendance_Sheet!AL19</f>
        <v>30</v>
      </c>
      <c r="H14" s="3">
        <f>SUM(Attendance_Sheet!AM19:AO19)</f>
        <v>10</v>
      </c>
      <c r="I14" s="8">
        <f t="shared" si="0"/>
        <v>500</v>
      </c>
      <c r="J14" s="8">
        <f t="shared" si="1"/>
        <v>5000</v>
      </c>
      <c r="K14" s="3">
        <f t="shared" si="2"/>
        <v>1800</v>
      </c>
      <c r="L14" s="3" t="s">
        <v>73</v>
      </c>
      <c r="M14" s="3">
        <f t="shared" si="3"/>
        <v>7500</v>
      </c>
      <c r="N14" s="3">
        <v>1000</v>
      </c>
      <c r="O14" s="9">
        <v>3</v>
      </c>
      <c r="P14" s="8">
        <f t="shared" si="4"/>
        <v>166.66666666666669</v>
      </c>
      <c r="Q14" s="8">
        <f t="shared" si="5"/>
        <v>15300</v>
      </c>
      <c r="R14" s="3">
        <f t="shared" si="6"/>
        <v>1800</v>
      </c>
      <c r="S14" s="3">
        <f t="shared" si="7"/>
        <v>114.75</v>
      </c>
      <c r="T14" s="8">
        <f t="shared" si="8"/>
        <v>17214.75</v>
      </c>
    </row>
    <row r="15" spans="3:20" x14ac:dyDescent="0.3">
      <c r="C15" s="3" t="str">
        <f>Attendance_Sheet!E20</f>
        <v>EMP008</v>
      </c>
      <c r="D15" s="3" t="str">
        <f>Attendance_Sheet!F20</f>
        <v>Athena</v>
      </c>
      <c r="E15" s="3" t="s">
        <v>69</v>
      </c>
      <c r="F15" s="3">
        <v>15000</v>
      </c>
      <c r="G15" s="3">
        <f>Attendance_Sheet!AL20</f>
        <v>30</v>
      </c>
      <c r="H15" s="3">
        <f>SUM(Attendance_Sheet!AM20:AO20)</f>
        <v>11</v>
      </c>
      <c r="I15" s="8">
        <f t="shared" si="0"/>
        <v>500</v>
      </c>
      <c r="J15" s="8">
        <f t="shared" si="1"/>
        <v>5500</v>
      </c>
      <c r="K15" s="3">
        <f t="shared" si="2"/>
        <v>1800</v>
      </c>
      <c r="L15" s="3" t="s">
        <v>74</v>
      </c>
      <c r="M15" s="3">
        <f t="shared" si="3"/>
        <v>6000</v>
      </c>
      <c r="N15" s="3">
        <v>3000</v>
      </c>
      <c r="O15" s="9">
        <v>4</v>
      </c>
      <c r="P15" s="8">
        <f t="shared" si="4"/>
        <v>222.22222222222223</v>
      </c>
      <c r="Q15" s="8">
        <f t="shared" si="5"/>
        <v>16300</v>
      </c>
      <c r="R15" s="3">
        <f t="shared" si="6"/>
        <v>1800</v>
      </c>
      <c r="S15" s="3">
        <f t="shared" si="7"/>
        <v>122.25</v>
      </c>
      <c r="T15" s="8">
        <f t="shared" si="8"/>
        <v>18222.25</v>
      </c>
    </row>
    <row r="16" spans="3:20" x14ac:dyDescent="0.3">
      <c r="C16" s="3" t="str">
        <f>Attendance_Sheet!E21</f>
        <v>EMP009</v>
      </c>
      <c r="D16" s="3" t="str">
        <f>Attendance_Sheet!F21</f>
        <v>Da Vinci</v>
      </c>
      <c r="E16" s="3" t="s">
        <v>69</v>
      </c>
      <c r="F16" s="3">
        <v>15000</v>
      </c>
      <c r="G16" s="3">
        <f>Attendance_Sheet!AL21</f>
        <v>30</v>
      </c>
      <c r="H16" s="3">
        <f>SUM(Attendance_Sheet!AM21:AO21)</f>
        <v>11</v>
      </c>
      <c r="I16" s="8">
        <f t="shared" si="0"/>
        <v>500</v>
      </c>
      <c r="J16" s="8">
        <f t="shared" si="1"/>
        <v>5500</v>
      </c>
      <c r="K16" s="3">
        <f t="shared" si="2"/>
        <v>1800</v>
      </c>
      <c r="L16" s="3" t="s">
        <v>73</v>
      </c>
      <c r="M16" s="3">
        <f t="shared" si="3"/>
        <v>7500</v>
      </c>
      <c r="N16" s="3">
        <v>1000</v>
      </c>
      <c r="O16" s="9">
        <v>5</v>
      </c>
      <c r="P16" s="8">
        <f t="shared" si="4"/>
        <v>277.77777777777777</v>
      </c>
      <c r="Q16" s="8">
        <f t="shared" si="5"/>
        <v>15800</v>
      </c>
      <c r="R16" s="3">
        <f t="shared" si="6"/>
        <v>1800</v>
      </c>
      <c r="S16" s="3">
        <f t="shared" si="7"/>
        <v>118.5</v>
      </c>
      <c r="T16" s="8">
        <f t="shared" si="8"/>
        <v>17718.5</v>
      </c>
    </row>
    <row r="17" spans="3:20" x14ac:dyDescent="0.3">
      <c r="C17" s="3" t="str">
        <f>Attendance_Sheet!E22</f>
        <v>EMP010</v>
      </c>
      <c r="D17" s="3" t="str">
        <f>Attendance_Sheet!F22</f>
        <v>Cousteau</v>
      </c>
      <c r="E17" s="3" t="s">
        <v>70</v>
      </c>
      <c r="F17" s="3">
        <v>25000</v>
      </c>
      <c r="G17" s="3">
        <f>Attendance_Sheet!AL22</f>
        <v>30</v>
      </c>
      <c r="H17" s="3">
        <f>SUM(Attendance_Sheet!AM22:AO22)</f>
        <v>10</v>
      </c>
      <c r="I17" s="8">
        <f t="shared" si="0"/>
        <v>833.33333333333337</v>
      </c>
      <c r="J17" s="8">
        <f t="shared" si="1"/>
        <v>8333.3333333333339</v>
      </c>
      <c r="K17" s="3">
        <f t="shared" si="2"/>
        <v>3000</v>
      </c>
      <c r="L17" s="3" t="s">
        <v>73</v>
      </c>
      <c r="M17" s="3">
        <f t="shared" si="3"/>
        <v>12500</v>
      </c>
      <c r="N17" s="3">
        <v>1000</v>
      </c>
      <c r="O17" s="9">
        <v>6</v>
      </c>
      <c r="P17" s="8">
        <f t="shared" si="4"/>
        <v>555.55555555555554</v>
      </c>
      <c r="Q17" s="8">
        <f t="shared" si="5"/>
        <v>24833.333333333336</v>
      </c>
      <c r="R17" s="3">
        <f t="shared" si="6"/>
        <v>3000</v>
      </c>
      <c r="S17" s="3" t="str">
        <f t="shared" si="7"/>
        <v>0</v>
      </c>
      <c r="T17" s="8">
        <f t="shared" si="8"/>
        <v>27833.333333333336</v>
      </c>
    </row>
    <row r="18" spans="3:20" x14ac:dyDescent="0.3">
      <c r="C18" s="3" t="str">
        <f>Attendance_Sheet!E23</f>
        <v>EMP011</v>
      </c>
      <c r="D18" s="3" t="str">
        <f>Attendance_Sheet!F23</f>
        <v>Amundsen</v>
      </c>
      <c r="E18" s="3" t="s">
        <v>70</v>
      </c>
      <c r="F18" s="3">
        <v>25000</v>
      </c>
      <c r="G18" s="3">
        <f>Attendance_Sheet!AL23</f>
        <v>30</v>
      </c>
      <c r="H18" s="3">
        <f>SUM(Attendance_Sheet!AM23:AO23)</f>
        <v>11</v>
      </c>
      <c r="I18" s="8">
        <f t="shared" si="0"/>
        <v>833.33333333333337</v>
      </c>
      <c r="J18" s="8">
        <f t="shared" si="1"/>
        <v>9166.6666666666679</v>
      </c>
      <c r="K18" s="3">
        <f t="shared" si="2"/>
        <v>3000</v>
      </c>
      <c r="L18" s="3" t="s">
        <v>73</v>
      </c>
      <c r="M18" s="3">
        <f t="shared" si="3"/>
        <v>12500</v>
      </c>
      <c r="N18" s="3">
        <v>1000</v>
      </c>
      <c r="O18" s="9">
        <v>7</v>
      </c>
      <c r="P18" s="8">
        <f t="shared" si="4"/>
        <v>648.14814814814815</v>
      </c>
      <c r="Q18" s="8">
        <f t="shared" si="5"/>
        <v>25666.666666666668</v>
      </c>
      <c r="R18" s="3">
        <f t="shared" si="6"/>
        <v>3000</v>
      </c>
      <c r="S18" s="3" t="str">
        <f t="shared" si="7"/>
        <v>0</v>
      </c>
      <c r="T18" s="8">
        <f t="shared" si="8"/>
        <v>28666.666666666668</v>
      </c>
    </row>
    <row r="19" spans="3:20" x14ac:dyDescent="0.3">
      <c r="C19" s="3" t="str">
        <f>Attendance_Sheet!E24</f>
        <v>EMP012</v>
      </c>
      <c r="D19" s="3" t="str">
        <f>Attendance_Sheet!F24</f>
        <v>Sagan</v>
      </c>
      <c r="E19" s="3" t="s">
        <v>71</v>
      </c>
      <c r="F19" s="3">
        <v>20000</v>
      </c>
      <c r="G19" s="3">
        <f>Attendance_Sheet!AL24</f>
        <v>30</v>
      </c>
      <c r="H19" s="3">
        <f>SUM(Attendance_Sheet!AM24:AO24)</f>
        <v>11</v>
      </c>
      <c r="I19" s="8">
        <f t="shared" si="0"/>
        <v>666.66666666666663</v>
      </c>
      <c r="J19" s="8">
        <f t="shared" si="1"/>
        <v>7333.333333333333</v>
      </c>
      <c r="K19" s="3">
        <f t="shared" si="2"/>
        <v>2400</v>
      </c>
      <c r="L19" s="3" t="s">
        <v>74</v>
      </c>
      <c r="M19" s="3">
        <f t="shared" si="3"/>
        <v>8000</v>
      </c>
      <c r="N19" s="3">
        <v>3000</v>
      </c>
      <c r="O19" s="9">
        <v>5</v>
      </c>
      <c r="P19" s="8">
        <f t="shared" si="4"/>
        <v>370.37037037037038</v>
      </c>
      <c r="Q19" s="8">
        <f t="shared" si="5"/>
        <v>20733.333333333332</v>
      </c>
      <c r="R19" s="3">
        <f t="shared" si="6"/>
        <v>2400</v>
      </c>
      <c r="S19" s="3">
        <f t="shared" si="7"/>
        <v>155.49999999999997</v>
      </c>
      <c r="T19" s="8">
        <f t="shared" si="8"/>
        <v>23288.833333333332</v>
      </c>
    </row>
    <row r="20" spans="3:20" x14ac:dyDescent="0.3">
      <c r="C20" s="3" t="str">
        <f>Attendance_Sheet!E25</f>
        <v>EMP013</v>
      </c>
      <c r="D20" s="3" t="str">
        <f>Attendance_Sheet!F25</f>
        <v>Orion</v>
      </c>
      <c r="E20" s="3" t="s">
        <v>72</v>
      </c>
      <c r="F20" s="3">
        <v>20000</v>
      </c>
      <c r="G20" s="3">
        <f>Attendance_Sheet!AL25</f>
        <v>30</v>
      </c>
      <c r="H20" s="3">
        <f>SUM(Attendance_Sheet!AM25:AO25)</f>
        <v>11</v>
      </c>
      <c r="I20" s="8">
        <f t="shared" si="0"/>
        <v>666.66666666666663</v>
      </c>
      <c r="J20" s="8">
        <f t="shared" si="1"/>
        <v>7333.333333333333</v>
      </c>
      <c r="K20" s="3">
        <f t="shared" si="2"/>
        <v>2400</v>
      </c>
      <c r="L20" s="3" t="s">
        <v>73</v>
      </c>
      <c r="M20" s="3">
        <f t="shared" si="3"/>
        <v>10000</v>
      </c>
      <c r="N20" s="3">
        <v>3000</v>
      </c>
      <c r="O20" s="9">
        <v>5</v>
      </c>
      <c r="P20" s="8">
        <f t="shared" si="4"/>
        <v>370.37037037037038</v>
      </c>
      <c r="Q20" s="8">
        <f t="shared" si="5"/>
        <v>22733.333333333332</v>
      </c>
      <c r="R20" s="3">
        <f t="shared" si="6"/>
        <v>2400</v>
      </c>
      <c r="S20" s="3" t="str">
        <f t="shared" si="7"/>
        <v>0</v>
      </c>
      <c r="T20" s="8">
        <f t="shared" si="8"/>
        <v>25133.333333333332</v>
      </c>
    </row>
  </sheetData>
  <mergeCells count="1">
    <mergeCell ref="C4:T6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156C-5B12-46B3-8F80-56BD956A7121}">
  <dimension ref="A2:T28"/>
  <sheetViews>
    <sheetView showGridLines="0" zoomScale="115" zoomScaleNormal="115" workbookViewId="0">
      <selection activeCell="J9" sqref="J9:L9"/>
    </sheetView>
  </sheetViews>
  <sheetFormatPr defaultColWidth="9.109375" defaultRowHeight="14.4" x14ac:dyDescent="0.3"/>
  <cols>
    <col min="1" max="1" width="9.109375" style="23"/>
    <col min="2" max="2" width="3" style="23" customWidth="1"/>
    <col min="3" max="4" width="9.109375" style="23"/>
    <col min="5" max="5" width="2.5546875" style="23" customWidth="1"/>
    <col min="6" max="6" width="1.44140625" style="23" customWidth="1"/>
    <col min="7" max="12" width="9.109375" style="23"/>
    <col min="13" max="13" width="1.44140625" style="23" customWidth="1"/>
    <col min="14" max="19" width="9.109375" style="23"/>
    <col min="20" max="20" width="2.5546875" style="23" customWidth="1"/>
    <col min="21" max="16384" width="9.109375" style="23"/>
  </cols>
  <sheetData>
    <row r="2" spans="1:20" x14ac:dyDescent="0.3">
      <c r="A2" s="23" t="s">
        <v>75</v>
      </c>
    </row>
    <row r="3" spans="1:20" ht="21.75" customHeight="1" x14ac:dyDescent="0.3">
      <c r="E3" s="75" t="s">
        <v>76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7"/>
    </row>
    <row r="4" spans="1:20" ht="11.25" customHeight="1" x14ac:dyDescent="0.3">
      <c r="E4" s="13"/>
      <c r="F4" s="78" t="s">
        <v>92</v>
      </c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0"/>
      <c r="T4" s="12"/>
    </row>
    <row r="5" spans="1:20" ht="11.25" customHeight="1" x14ac:dyDescent="0.3">
      <c r="E5" s="13"/>
      <c r="F5" s="81" t="s">
        <v>77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3"/>
      <c r="T5" s="12"/>
    </row>
    <row r="6" spans="1:20" ht="11.25" customHeight="1" x14ac:dyDescent="0.3">
      <c r="E6" s="13"/>
      <c r="F6" s="84" t="str">
        <f>"Salary Slip For the Month Of - "&amp;Attendance_Sheet!E8&amp;" "&amp;Attendance_Sheet!F8&amp;""</f>
        <v>Salary Slip For the Month Of - June 2026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6"/>
      <c r="T6" s="12"/>
    </row>
    <row r="7" spans="1:20" ht="4.5" customHeight="1" x14ac:dyDescent="0.3">
      <c r="E7" s="1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</row>
    <row r="8" spans="1:20" x14ac:dyDescent="0.3">
      <c r="E8" s="13"/>
      <c r="F8" s="45" t="s">
        <v>78</v>
      </c>
      <c r="G8" s="45"/>
      <c r="H8" s="45"/>
      <c r="I8" s="45"/>
      <c r="J8" s="45"/>
      <c r="K8" s="45"/>
      <c r="L8" s="45"/>
      <c r="M8" s="45" t="s">
        <v>79</v>
      </c>
      <c r="N8" s="45"/>
      <c r="O8" s="45"/>
      <c r="P8" s="45"/>
      <c r="Q8" s="45"/>
      <c r="R8" s="45"/>
      <c r="S8" s="45"/>
      <c r="T8" s="12"/>
    </row>
    <row r="9" spans="1:20" x14ac:dyDescent="0.3">
      <c r="E9" s="13"/>
      <c r="F9" s="13"/>
      <c r="G9" s="58" t="s">
        <v>80</v>
      </c>
      <c r="H9" s="58"/>
      <c r="I9" s="58"/>
      <c r="J9" s="65" t="s">
        <v>0</v>
      </c>
      <c r="K9" s="65"/>
      <c r="L9" s="66"/>
      <c r="M9" s="19"/>
      <c r="N9" s="58" t="s">
        <v>42</v>
      </c>
      <c r="O9" s="58"/>
      <c r="P9" s="58"/>
      <c r="Q9" s="73">
        <f>VLOOKUP($J$9,Salary_Sheet!$C$7:$T$20,MATCH($N$9,Salary_Sheet!$C$7:$T$7,0),0)</f>
        <v>30</v>
      </c>
      <c r="R9" s="73"/>
      <c r="S9" s="74"/>
      <c r="T9" s="12"/>
    </row>
    <row r="10" spans="1:20" x14ac:dyDescent="0.3">
      <c r="E10" s="13"/>
      <c r="F10" s="13"/>
      <c r="G10" s="58" t="s">
        <v>14</v>
      </c>
      <c r="H10" s="58"/>
      <c r="I10" s="58"/>
      <c r="J10" s="65" t="str">
        <f>VLOOKUP($J$9,Salary_Sheet!$C$7:$T$20,MATCH(Salary_Slip!$G$10,Salary_Sheet!$C$7:$T$7,0),0)</f>
        <v>Buckminster</v>
      </c>
      <c r="K10" s="65"/>
      <c r="L10" s="66"/>
      <c r="M10" s="19"/>
      <c r="N10" s="58" t="s">
        <v>52</v>
      </c>
      <c r="O10" s="58"/>
      <c r="P10" s="58"/>
      <c r="Q10" s="67">
        <f>VLOOKUP($J$9,Salary_Sheet!$C$7:$T$20,MATCH($N$10,Salary_Sheet!$C$7:$T$7,0),0)</f>
        <v>11</v>
      </c>
      <c r="R10" s="67"/>
      <c r="S10" s="68"/>
      <c r="T10" s="12"/>
    </row>
    <row r="11" spans="1:20" x14ac:dyDescent="0.3">
      <c r="E11" s="13"/>
      <c r="F11" s="14"/>
      <c r="G11" s="52" t="s">
        <v>50</v>
      </c>
      <c r="H11" s="52"/>
      <c r="I11" s="52"/>
      <c r="J11" s="69" t="str">
        <f>VLOOKUP($J$9,Salary_Sheet!$C$7:$T$20,MATCH($G$11,Salary_Sheet!$C$7:$T$7,0),0)</f>
        <v>Manager</v>
      </c>
      <c r="K11" s="69"/>
      <c r="L11" s="70"/>
      <c r="M11" s="20"/>
      <c r="N11" s="52" t="s">
        <v>86</v>
      </c>
      <c r="O11" s="52"/>
      <c r="P11" s="52"/>
      <c r="Q11" s="71">
        <f ca="1">TODAY()</f>
        <v>46181</v>
      </c>
      <c r="R11" s="71"/>
      <c r="S11" s="72"/>
      <c r="T11" s="12"/>
    </row>
    <row r="12" spans="1:20" ht="4.5" customHeight="1" x14ac:dyDescent="0.3">
      <c r="E12" s="1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2"/>
    </row>
    <row r="13" spans="1:20" x14ac:dyDescent="0.3">
      <c r="E13" s="13"/>
      <c r="F13" s="17" t="s">
        <v>78</v>
      </c>
      <c r="G13" s="41" t="s">
        <v>51</v>
      </c>
      <c r="H13" s="41"/>
      <c r="I13" s="41"/>
      <c r="J13" s="41"/>
      <c r="K13" s="41"/>
      <c r="L13" s="42"/>
      <c r="M13" s="18" t="s">
        <v>78</v>
      </c>
      <c r="N13" s="43">
        <f>VLOOKUP($J$9,Salary_Sheet!$C$7:$T$20,MATCH(Salary_Slip!$G$13,Salary_Sheet!$C$7:$T$7,0),0)</f>
        <v>95000</v>
      </c>
      <c r="O13" s="43"/>
      <c r="P13" s="43"/>
      <c r="Q13" s="43"/>
      <c r="R13" s="43"/>
      <c r="S13" s="44"/>
      <c r="T13" s="12"/>
    </row>
    <row r="14" spans="1:20" ht="4.5" customHeight="1" x14ac:dyDescent="0.3">
      <c r="E14" s="13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</row>
    <row r="15" spans="1:20" x14ac:dyDescent="0.3">
      <c r="E15" s="13"/>
      <c r="F15" s="46" t="s">
        <v>81</v>
      </c>
      <c r="G15" s="41"/>
      <c r="H15" s="41"/>
      <c r="I15" s="41"/>
      <c r="J15" s="47"/>
      <c r="K15" s="47"/>
      <c r="L15" s="48"/>
      <c r="M15" s="46" t="s">
        <v>82</v>
      </c>
      <c r="N15" s="41"/>
      <c r="O15" s="41"/>
      <c r="P15" s="41"/>
      <c r="Q15" s="41"/>
      <c r="R15" s="41"/>
      <c r="S15" s="42"/>
      <c r="T15" s="12"/>
    </row>
    <row r="16" spans="1:20" x14ac:dyDescent="0.3">
      <c r="E16" s="13"/>
      <c r="F16" s="13"/>
      <c r="G16" s="58" t="s">
        <v>54</v>
      </c>
      <c r="H16" s="58"/>
      <c r="I16" s="58"/>
      <c r="J16" s="62">
        <f>VLOOKUP($J$9,Salary_Sheet!$C$7:$T$20,MATCH($G$16,Salary_Sheet!$C$7:$T$7,0),0)</f>
        <v>34833.333333333328</v>
      </c>
      <c r="K16" s="62"/>
      <c r="L16" s="63"/>
      <c r="M16" s="21"/>
      <c r="N16" s="58" t="s">
        <v>62</v>
      </c>
      <c r="O16" s="58"/>
      <c r="P16" s="58"/>
      <c r="Q16" s="62">
        <f>VLOOKUP($J$9,Salary_Sheet!$C$7:$T$20,MATCH($N$16,Salary_Sheet!$C$7:$T$7,0),0)</f>
        <v>11400</v>
      </c>
      <c r="R16" s="62"/>
      <c r="S16" s="64"/>
      <c r="T16" s="12"/>
    </row>
    <row r="17" spans="5:20" x14ac:dyDescent="0.3">
      <c r="E17" s="13"/>
      <c r="F17" s="13"/>
      <c r="G17" s="58" t="s">
        <v>55</v>
      </c>
      <c r="H17" s="58"/>
      <c r="I17" s="58"/>
      <c r="J17" s="59">
        <f>VLOOKUP($J$9,Salary_Sheet!$C$7:$T$20,MATCH($G$17,Salary_Sheet!$C$7:$T$7,0),0)</f>
        <v>11400</v>
      </c>
      <c r="K17" s="59"/>
      <c r="L17" s="60"/>
      <c r="M17" s="21"/>
      <c r="N17" s="58" t="s">
        <v>63</v>
      </c>
      <c r="O17" s="58"/>
      <c r="P17" s="58"/>
      <c r="Q17" s="59" t="str">
        <f>VLOOKUP($J$9,Salary_Sheet!$C$7:$T$20,MATCH($N$17,Salary_Sheet!$C$7:$T$7,0),0)</f>
        <v>0</v>
      </c>
      <c r="R17" s="59"/>
      <c r="S17" s="61"/>
      <c r="T17" s="12"/>
    </row>
    <row r="18" spans="5:20" x14ac:dyDescent="0.3">
      <c r="E18" s="13"/>
      <c r="F18" s="13"/>
      <c r="G18" s="58" t="s">
        <v>57</v>
      </c>
      <c r="H18" s="58"/>
      <c r="I18" s="58"/>
      <c r="J18" s="59">
        <f>VLOOKUP($J$9,Salary_Sheet!$C$7:$T$20,MATCH($G$18,Salary_Sheet!$C$7:$T$7,0),0)</f>
        <v>47500</v>
      </c>
      <c r="K18" s="59"/>
      <c r="L18" s="60"/>
      <c r="M18" s="21"/>
      <c r="N18" s="58" t="s">
        <v>87</v>
      </c>
      <c r="O18" s="58"/>
      <c r="P18" s="58"/>
      <c r="Q18" s="59" t="str">
        <f>IFERROR(VLOOKUP($J$9,Salary_Sheet!$C$7:$T$20,MATCH($N$18,Salary_Sheet!$C$7:$T$7,0),0),"0")</f>
        <v>0</v>
      </c>
      <c r="R18" s="59"/>
      <c r="S18" s="61"/>
      <c r="T18" s="12"/>
    </row>
    <row r="19" spans="5:20" x14ac:dyDescent="0.3">
      <c r="E19" s="13"/>
      <c r="F19" s="13"/>
      <c r="G19" s="58" t="s">
        <v>58</v>
      </c>
      <c r="H19" s="58"/>
      <c r="I19" s="58"/>
      <c r="J19" s="59">
        <f>VLOOKUP($J$9,Salary_Sheet!$C$7:$T$20,MATCH($G$19,Salary_Sheet!$C$7:$T$7,0),0)</f>
        <v>1000</v>
      </c>
      <c r="K19" s="59"/>
      <c r="L19" s="60"/>
      <c r="M19" s="21"/>
      <c r="N19" s="58" t="s">
        <v>88</v>
      </c>
      <c r="O19" s="58"/>
      <c r="P19" s="58"/>
      <c r="Q19" s="59" t="str">
        <f>IFERROR(VLOOKUP($J$9,Salary_Sheet!$C$7:$T$20,MATCH($N$19,Salary_Sheet!$C$7:$T$7,0),0),"0")</f>
        <v>0</v>
      </c>
      <c r="R19" s="59"/>
      <c r="S19" s="61"/>
      <c r="T19" s="12"/>
    </row>
    <row r="20" spans="5:20" x14ac:dyDescent="0.3">
      <c r="E20" s="13"/>
      <c r="F20" s="13"/>
      <c r="G20" s="58" t="s">
        <v>60</v>
      </c>
      <c r="H20" s="58"/>
      <c r="I20" s="58"/>
      <c r="J20" s="59">
        <f>VLOOKUP($J$9,Salary_Sheet!$C$7:$T$20,MATCH($G$20,Salary_Sheet!$C$7:$T$7,0),0)</f>
        <v>1759.2592592592591</v>
      </c>
      <c r="K20" s="59"/>
      <c r="L20" s="60"/>
      <c r="M20" s="21"/>
      <c r="N20" s="58" t="s">
        <v>83</v>
      </c>
      <c r="O20" s="58"/>
      <c r="P20" s="58"/>
      <c r="Q20" s="59"/>
      <c r="R20" s="59"/>
      <c r="S20" s="61"/>
      <c r="T20" s="12"/>
    </row>
    <row r="21" spans="5:20" x14ac:dyDescent="0.3">
      <c r="E21" s="13"/>
      <c r="F21" s="14"/>
      <c r="G21" s="52" t="s">
        <v>61</v>
      </c>
      <c r="H21" s="52"/>
      <c r="I21" s="52"/>
      <c r="J21" s="53">
        <f>SUM(J16:L20)</f>
        <v>96492.592592592584</v>
      </c>
      <c r="K21" s="53"/>
      <c r="L21" s="54"/>
      <c r="M21" s="22"/>
      <c r="N21" s="52" t="s">
        <v>89</v>
      </c>
      <c r="O21" s="52"/>
      <c r="P21" s="52"/>
      <c r="Q21" s="53">
        <f>SUM(Q16:S20)</f>
        <v>11400</v>
      </c>
      <c r="R21" s="53"/>
      <c r="S21" s="55"/>
      <c r="T21" s="12"/>
    </row>
    <row r="22" spans="5:20" ht="4.5" customHeight="1" x14ac:dyDescent="0.3">
      <c r="E22" s="13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</row>
    <row r="23" spans="5:20" x14ac:dyDescent="0.3">
      <c r="E23" s="13"/>
      <c r="F23" s="17" t="s">
        <v>78</v>
      </c>
      <c r="G23" s="41" t="s">
        <v>64</v>
      </c>
      <c r="H23" s="41"/>
      <c r="I23" s="41"/>
      <c r="J23" s="41"/>
      <c r="K23" s="41"/>
      <c r="L23" s="42"/>
      <c r="M23" s="18" t="s">
        <v>78</v>
      </c>
      <c r="N23" s="43">
        <f>J21-Q21</f>
        <v>85092.592592592584</v>
      </c>
      <c r="O23" s="43"/>
      <c r="P23" s="43"/>
      <c r="Q23" s="43"/>
      <c r="R23" s="43"/>
      <c r="S23" s="44"/>
      <c r="T23" s="12"/>
    </row>
    <row r="24" spans="5:20" ht="4.5" customHeight="1" x14ac:dyDescent="0.3">
      <c r="E24" s="1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2"/>
    </row>
    <row r="25" spans="5:20" x14ac:dyDescent="0.3">
      <c r="E25" s="13"/>
      <c r="F25" s="11"/>
      <c r="G25" s="56" t="s">
        <v>90</v>
      </c>
      <c r="H25" s="56"/>
      <c r="I25" s="56"/>
      <c r="J25" s="57" t="s">
        <v>84</v>
      </c>
      <c r="K25" s="57"/>
      <c r="L25" s="57"/>
      <c r="M25" s="11"/>
      <c r="N25" s="56" t="s">
        <v>91</v>
      </c>
      <c r="O25" s="56"/>
      <c r="P25" s="56"/>
      <c r="Q25" s="57" t="s">
        <v>84</v>
      </c>
      <c r="R25" s="57"/>
      <c r="S25" s="57"/>
      <c r="T25" s="12"/>
    </row>
    <row r="26" spans="5:20" ht="4.5" customHeight="1" x14ac:dyDescent="0.3">
      <c r="E26" s="1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</row>
    <row r="27" spans="5:20" x14ac:dyDescent="0.3">
      <c r="E27" s="13"/>
      <c r="F27" s="49" t="s">
        <v>85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12"/>
    </row>
    <row r="28" spans="5:20" ht="12" customHeight="1" x14ac:dyDescent="0.3"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6"/>
    </row>
  </sheetData>
  <mergeCells count="53">
    <mergeCell ref="G9:I9"/>
    <mergeCell ref="J9:L9"/>
    <mergeCell ref="N9:P9"/>
    <mergeCell ref="Q9:S9"/>
    <mergeCell ref="E3:T3"/>
    <mergeCell ref="F4:S4"/>
    <mergeCell ref="F5:S5"/>
    <mergeCell ref="F6:S6"/>
    <mergeCell ref="G10:I10"/>
    <mergeCell ref="J10:L10"/>
    <mergeCell ref="N10:P10"/>
    <mergeCell ref="Q10:S10"/>
    <mergeCell ref="G11:I11"/>
    <mergeCell ref="J11:L11"/>
    <mergeCell ref="N11:P11"/>
    <mergeCell ref="Q11:S11"/>
    <mergeCell ref="G16:I16"/>
    <mergeCell ref="J16:L16"/>
    <mergeCell ref="N16:P16"/>
    <mergeCell ref="Q16:S16"/>
    <mergeCell ref="G13:L13"/>
    <mergeCell ref="N13:S13"/>
    <mergeCell ref="N17:P17"/>
    <mergeCell ref="Q17:S17"/>
    <mergeCell ref="G18:I18"/>
    <mergeCell ref="J18:L18"/>
    <mergeCell ref="N18:P18"/>
    <mergeCell ref="Q18:S18"/>
    <mergeCell ref="F27:S27"/>
    <mergeCell ref="G21:I21"/>
    <mergeCell ref="J21:L21"/>
    <mergeCell ref="N21:P21"/>
    <mergeCell ref="Q21:S21"/>
    <mergeCell ref="G25:I25"/>
    <mergeCell ref="J25:L25"/>
    <mergeCell ref="N25:P25"/>
    <mergeCell ref="Q25:S25"/>
    <mergeCell ref="G23:L23"/>
    <mergeCell ref="N23:S23"/>
    <mergeCell ref="M8:S8"/>
    <mergeCell ref="F8:L8"/>
    <mergeCell ref="F15:L15"/>
    <mergeCell ref="M15:S15"/>
    <mergeCell ref="G19:I19"/>
    <mergeCell ref="J19:L19"/>
    <mergeCell ref="N19:P19"/>
    <mergeCell ref="Q19:S19"/>
    <mergeCell ref="G20:I20"/>
    <mergeCell ref="J20:L20"/>
    <mergeCell ref="N20:P20"/>
    <mergeCell ref="Q20:S20"/>
    <mergeCell ref="G17:I17"/>
    <mergeCell ref="J17:L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3257DE-9800-46AC-8914-43EF7C6F6E59}">
          <x14:formula1>
            <xm:f>Salary_Sheet!$C$8:$C$20</xm:f>
          </x14:formula1>
          <xm:sqref>J9:L9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Attendance_Sheet</vt:lpstr>
      <vt:lpstr>Salary_Sheet</vt:lpstr>
      <vt:lpstr>Salary_Slip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RIHANSHU BISHWAKARMA</dc:creator>
  <cp:lastModifiedBy>Rihanshu Bishwakarma</cp:lastModifiedBy>
  <dcterms:created xsi:type="dcterms:W3CDTF">2026-06-06T06:26:34Z</dcterms:created>
  <dcterms:modified xsi:type="dcterms:W3CDTF">2026-06-08T16:20:19Z</dcterms:modified>
</cp:coreProperties>
</file>